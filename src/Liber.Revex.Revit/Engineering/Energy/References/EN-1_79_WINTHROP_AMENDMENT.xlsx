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r legend" sheetId="1" r:id="rId4"/>
    <sheet state="hidden" name="Schedules - Assembly" sheetId="2" r:id="rId5"/>
    <sheet state="hidden" name="Schedules - Office" sheetId="3" r:id="rId6"/>
    <sheet state="hidden" name="Schedules - Retail" sheetId="4" r:id="rId7"/>
    <sheet state="hidden" name="Schedules - Dwelling Unit" sheetId="5" r:id="rId8"/>
    <sheet state="hidden" name="Version Control" sheetId="6" r:id="rId9"/>
    <sheet state="visible" name="1,2,3 Information" sheetId="7" r:id="rId10"/>
    <sheet state="visible" name="3d. LL97 GHG Summary" sheetId="8" r:id="rId11"/>
    <sheet state="visible" name="4. Compliance" sheetId="9" r:id="rId12"/>
    <sheet state="visible" name="5a. Baseline Rotations" sheetId="10" r:id="rId13"/>
    <sheet state="visible" name="5b. Usage Summary" sheetId="11" r:id="rId14"/>
    <sheet state="hidden" name="5a. Description of Project" sheetId="12" r:id="rId15"/>
    <sheet state="visible" name="6a. Ext. Wall Areas" sheetId="13" r:id="rId16"/>
    <sheet state="visible" name="6b. Fenestration" sheetId="14" r:id="rId17"/>
    <sheet state="visible" name="6c1. Wall Types" sheetId="15" r:id="rId18"/>
    <sheet state="visible" name="6c2. Wall Types - Addl Rows" sheetId="16" r:id="rId19"/>
    <sheet state="visible" name="6d.1 Interior LPD-Space Method" sheetId="17" r:id="rId20"/>
    <sheet state="visible" name="6d.2 Interior LPD-Bldg  Method" sheetId="18" r:id="rId21"/>
    <sheet state="visible" name="6e. Ext LPD" sheetId="19" r:id="rId22"/>
    <sheet state="visible" name="6f. Process Equip." sheetId="20" r:id="rId23"/>
    <sheet state="visible" name="6g. Service HW" sheetId="21" r:id="rId24"/>
    <sheet state="visible" name="Instructions for HVAC_Cover" sheetId="22" r:id="rId25"/>
    <sheet state="visible" name="HVAC_Cover" sheetId="23" r:id="rId26"/>
    <sheet state="visible" name="HVAC Air-side" sheetId="24" r:id="rId27"/>
    <sheet state="hidden" name="Lists" sheetId="25" r:id="rId28"/>
    <sheet state="visible" name="6j. HVAC Water-side CHW  " sheetId="26" r:id="rId29"/>
    <sheet state="visible" name="6k. HVAC Water-side CW&amp;CT" sheetId="27" r:id="rId30"/>
    <sheet state="visible" name="6l. HVAC Water-side HW&amp;Steam" sheetId="28" r:id="rId31"/>
    <sheet state="visible" name="6m. HVAC- Geothermal" sheetId="29" r:id="rId32"/>
    <sheet state="visible" name="6n. CHP" sheetId="30" r:id="rId33"/>
    <sheet state="hidden" name="Lists-Areas" sheetId="31" r:id="rId34"/>
    <sheet state="hidden" name="Lighting Lookup" sheetId="32" r:id="rId35"/>
    <sheet state="hidden" name="Lighting Zones" sheetId="33" r:id="rId36"/>
    <sheet state="hidden" name="Raw Data" sheetId="34" r:id="rId37"/>
  </sheets>
  <definedNames>
    <definedName name="Fenestration">Lists!$A$5:$A$11</definedName>
    <definedName localSheetId="13" name="Res">Lists!$A$1:$A$2</definedName>
    <definedName name="SURFACE2">'Raw Data'!$Q$3:$Q$24</definedName>
    <definedName name="re">Lists!$R$65</definedName>
    <definedName name="BSA">'Lighting Zones'!$D$2:$D$6</definedName>
    <definedName name="Doors">Lists!$A$49:$A$50</definedName>
    <definedName name="Path">'4. Compliance'!$B$4</definedName>
    <definedName name="rf">Lists!$R$66</definedName>
    <definedName name="Roof_Type">Lists!$A$31:$A$33</definedName>
    <definedName localSheetId="22" name="Res">Lists!$A$1:$A$2</definedName>
    <definedName name="cfm">'HVAC Air-side'!$C$18</definedName>
    <definedName name="Ltg_Space">'Lighting Lookup'!$E$2:$E$108</definedName>
    <definedName name="bhp">'HVAC Air-side'!$C$26</definedName>
    <definedName name="Yes_No">Lists!$N$1:$N$2</definedName>
    <definedName name="YESNO">'Lighting Zones'!$B$11:$B$12</definedName>
    <definedName name="SxSCategories">'Lighting Lookup'!$E$2:$E$112</definedName>
    <definedName name="Modeled_Square_Feet">'1,2,3 Information'!$C$32</definedName>
    <definedName name="Slab">Lists!$A$46:$A$47</definedName>
    <definedName name="rd">Lists!$R$64</definedName>
    <definedName name="Ltg_ctrl">'Lighting Lookup'!$I$2:$I$6</definedName>
    <definedName name="Type">Lists!$A$1:$A$2</definedName>
    <definedName name="BAMCategories">'Lighting Lookup'!$A$2:$A$33</definedName>
    <definedName name="fan_eff">'HVAC Air-side'!$C$27</definedName>
    <definedName name="Floor">Lists!$A$42:$A$44</definedName>
    <definedName name="Ltg_Bldg">'Lighting Lookup'!$A$2:$A$33</definedName>
    <definedName name="rb">Lists!$R$62</definedName>
    <definedName localSheetId="15" name="Res">Lists!$A$1:$A$2</definedName>
    <definedName name="LZ">'Lighting Zones'!$B$2:$B$6</definedName>
    <definedName name="LZDEC">'Lighting Zones'!$C$2:$C$6</definedName>
    <definedName name="LZONE">'Lighting Zones'!$A$2:$A$6</definedName>
    <definedName name="Wall_Type">Lists!$A$35:$A$38</definedName>
    <definedName name="ra">Lists!$R$61</definedName>
    <definedName name="rca">Lists!$R$63</definedName>
    <definedName name="Env_Type">Lists!$A$1:$A$3</definedName>
    <definedName localSheetId="14" name="Res">Lists!$A$1:$A$2</definedName>
    <definedName name="HVAC">Lists!$A$54:$A$77</definedName>
  </definedNames>
  <calcPr/>
  <extLst>
    <ext uri="GoogleSheetsCustomDataVersion2">
      <go:sheetsCustomData xmlns:go="http://customooxmlschemas.google.com/" r:id="rId38" roundtripDataChecksum="WqvE4BzJrCXScbf0AxQqwGVtU9YJXWkcbmMXY+EcJF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Bruce R. kahle:
Add specific list
Envelope Components with values Above Code                                                                                      Document Location 
Envelope Componenets with values Below Code 
HVAC  Systems / Components with values Below Code  
HVAC  Systems / Components with values Above Code 
ServiCe Water Reduction Measures
Lighting Zones - percentage of area calculate as Energy Neutral  (Space type _____________ )
List any exceptional calculation Methods applied:  
======</t>
      </text>
    </comment>
  </commentList>
</comments>
</file>

<file path=xl/sharedStrings.xml><?xml version="1.0" encoding="utf-8"?>
<sst xmlns="http://schemas.openxmlformats.org/spreadsheetml/2006/main" count="2910" uniqueCount="1195">
  <si>
    <t>Hour of Day (Time)</t>
  </si>
  <si>
    <t>WORKBOOK COLOR LEGEND</t>
  </si>
  <si>
    <t>Schedule for Occupancy</t>
  </si>
  <si>
    <t>Do not edit:  information</t>
  </si>
  <si>
    <t>Schedule for Lighting/Receptacle</t>
  </si>
  <si>
    <t>Schedule for HVAC System</t>
  </si>
  <si>
    <t>Do not edit:  formulas</t>
  </si>
  <si>
    <t>Schedule for Service Hot Water</t>
  </si>
  <si>
    <t>Schedule for Elevator</t>
  </si>
  <si>
    <t>Do not edit:  error</t>
  </si>
  <si>
    <t>Percent of Maximum  Load</t>
  </si>
  <si>
    <t>User edit:  required information</t>
  </si>
  <si>
    <t>Wk</t>
  </si>
  <si>
    <t>User edit:  drop-down menu</t>
  </si>
  <si>
    <t>Sat</t>
  </si>
  <si>
    <t>Sun</t>
  </si>
  <si>
    <t>User edit: drop-down menu (only for use with Appendix G)</t>
  </si>
  <si>
    <t>User edit: formula + drop-down menu</t>
  </si>
  <si>
    <t>User edit:  fill in box</t>
  </si>
  <si>
    <t>1 (12-1am)</t>
  </si>
  <si>
    <t>Off</t>
  </si>
  <si>
    <t>2 (1-2am)</t>
  </si>
  <si>
    <t>3 (2-3am)</t>
  </si>
  <si>
    <t>4 (3-4am)</t>
  </si>
  <si>
    <t>5 (4-5am)</t>
  </si>
  <si>
    <t>6 (5-6am)</t>
  </si>
  <si>
    <t>7 (6-7am)</t>
  </si>
  <si>
    <t>On</t>
  </si>
  <si>
    <t>8 (7-8am)</t>
  </si>
  <si>
    <t>9 (8-9am)</t>
  </si>
  <si>
    <t>65/95</t>
  </si>
  <si>
    <t>10 (9-10am)</t>
  </si>
  <si>
    <t>11 (10-11am)</t>
  </si>
  <si>
    <t>12 (11-12pm)</t>
  </si>
  <si>
    <t>35/40</t>
  </si>
  <si>
    <t>85/90</t>
  </si>
  <si>
    <t>13 (12-1pm)</t>
  </si>
  <si>
    <t>55/60</t>
  </si>
  <si>
    <t>55/80</t>
  </si>
  <si>
    <t>14 (1-2pm)</t>
  </si>
  <si>
    <t>15 (2-3pm)</t>
  </si>
  <si>
    <t>Daily Thermostat Schedule</t>
  </si>
  <si>
    <t>16 (3-4pm)</t>
  </si>
  <si>
    <t>65/75</t>
  </si>
  <si>
    <t>40/50</t>
  </si>
  <si>
    <t>17 (4-5pm)</t>
  </si>
  <si>
    <t>Cooling</t>
  </si>
  <si>
    <t>Heating</t>
  </si>
  <si>
    <t>18 (5-6pm)</t>
  </si>
  <si>
    <t>35/50</t>
  </si>
  <si>
    <t>19 (6-7pm)</t>
  </si>
  <si>
    <t>20 (7-8pm)</t>
  </si>
  <si>
    <t>55/65</t>
  </si>
  <si>
    <t>21 (8-9pm)</t>
  </si>
  <si>
    <t>22 (9-10pm)</t>
  </si>
  <si>
    <t>23 (10-11pm)</t>
  </si>
  <si>
    <t>24 (11-12am)</t>
  </si>
  <si>
    <t>Total/Day</t>
  </si>
  <si>
    <t>800/1040</t>
  </si>
  <si>
    <t>Total/Week</t>
  </si>
  <si>
    <t>44.00/56.00</t>
  </si>
  <si>
    <t>1060/1155</t>
  </si>
  <si>
    <t>940/985</t>
  </si>
  <si>
    <t>500/525</t>
  </si>
  <si>
    <t>Total/Year</t>
  </si>
  <si>
    <t>2288/2920</t>
  </si>
  <si>
    <t>67.40/70.85</t>
  </si>
  <si>
    <t>1010/1155</t>
  </si>
  <si>
    <t>660/800</t>
  </si>
  <si>
    <t>745/845</t>
  </si>
  <si>
    <t>64.55/74.2</t>
  </si>
  <si>
    <t>3505/3694</t>
  </si>
  <si>
    <t>3357/3869</t>
  </si>
  <si>
    <t>Version #</t>
  </si>
  <si>
    <t>Issue Date</t>
  </si>
  <si>
    <t>Fixes</t>
  </si>
  <si>
    <t>Version 1</t>
  </si>
  <si>
    <t>Version 2</t>
  </si>
  <si>
    <t>1,2,3. - edit cell B7, add dropdown cell C7</t>
  </si>
  <si>
    <t>3d. - edit cell/formula in D18</t>
  </si>
  <si>
    <t>4. - unlock cell D17</t>
  </si>
  <si>
    <t>5b. - edit cells C18:L18</t>
  </si>
  <si>
    <t>6c. - unlock ability to add rows</t>
  </si>
  <si>
    <t>6d.1 - align with spaces/lpd (not blg area)</t>
  </si>
  <si>
    <t>6f. - add formulas to C20:D21</t>
  </si>
  <si>
    <t xml:space="preserve">6g. - add formula for baseline </t>
  </si>
  <si>
    <t>Version 3</t>
  </si>
  <si>
    <t>6b. - add more fenestration rows</t>
  </si>
  <si>
    <t>6b. - fixed cell M22 for no skylight</t>
  </si>
  <si>
    <t>6c1. - rename tab, remove ability to add rows</t>
  </si>
  <si>
    <t>6c2. - add new tab for additional opaque rows</t>
  </si>
  <si>
    <t>6d.1 - align all rows with spaces/lpd (not blg area)</t>
  </si>
  <si>
    <t>6d.1 - edit formula for cell B31</t>
  </si>
  <si>
    <t>Instructions for HVAC_Cover - added Items 5 &amp; 6</t>
  </si>
  <si>
    <t>Version 4</t>
  </si>
  <si>
    <t>4. - edited H19:I20 to consistant units of kBTU, instead of kwh and therm</t>
  </si>
  <si>
    <t>5b. - added missing formula to cell d11</t>
  </si>
  <si>
    <t>Version 5</t>
  </si>
  <si>
    <t>UNPROTECT WORKBOOK</t>
  </si>
  <si>
    <t>Version 6</t>
  </si>
  <si>
    <t xml:space="preserve">Edited "Lighting Lookup" tab for Multifamily Dwelling Unit LPD from 0.70 to 1.07 (per  Table G3.7)  </t>
  </si>
  <si>
    <t>Edited 6d.1 &amp; 6d.2, corrected sum formula for building and space areas</t>
  </si>
  <si>
    <t>Verson 7</t>
  </si>
  <si>
    <t>Unprotected "HVAC Air-side" tab</t>
  </si>
  <si>
    <t>Protected "HVAC_Cover" tab</t>
  </si>
  <si>
    <t>Enter information for sections 1, 2 and 3 - incorporate in the drawing set.</t>
  </si>
  <si>
    <t xml:space="preserve">            Must be typewritten</t>
  </si>
  <si>
    <t>Location Information</t>
  </si>
  <si>
    <t>House No(s)   79</t>
  </si>
  <si>
    <t>Street Name WINTHROP STREET</t>
  </si>
  <si>
    <t>Borough  BROOKLYN</t>
  </si>
  <si>
    <t>Block 5045</t>
  </si>
  <si>
    <t>Lot 72</t>
  </si>
  <si>
    <t>BIN  3115681</t>
  </si>
  <si>
    <t>CB No. 309</t>
  </si>
  <si>
    <t>Job Type (NB, Alt, etc.)</t>
  </si>
  <si>
    <t>New Building</t>
  </si>
  <si>
    <t>2a</t>
  </si>
  <si>
    <t>Applicant Information</t>
  </si>
  <si>
    <t>FOR INFORMATIONAL PURPOSES ONLY: NOT REQUIRED FOR ENERGY CODE COMPLIANCE</t>
  </si>
  <si>
    <t>Last Name FAYBYSHENKO</t>
  </si>
  <si>
    <t>First Name GENNADIY</t>
  </si>
  <si>
    <t>Middle Initial B.</t>
  </si>
  <si>
    <t>Business Name CHOSEN MEP, CORP.</t>
  </si>
  <si>
    <t xml:space="preserve">Business Email </t>
  </si>
  <si>
    <t>Business Address 31-00 47TH AVENUE SUITE #3100</t>
  </si>
  <si>
    <t>Business Telephone 347-766-5010</t>
  </si>
  <si>
    <t>City  LONG ISLAND CITY</t>
  </si>
  <si>
    <r>
      <rPr>
        <rFont val="Calibri"/>
        <b/>
        <color theme="1"/>
        <sz val="9.0"/>
      </rPr>
      <t>INSTRUCTIONS:</t>
    </r>
    <r>
      <rPr>
        <rFont val="Calibri"/>
        <color theme="1"/>
        <sz val="9.0"/>
      </rPr>
      <t xml:space="preserve">  If the modeling parameters call for averaging 4 rotations, enter the data into each of the white columns.  If the modeling protocol does not require averaging the 4 rotations, enter the data into only the column labeled "0'" (do not enter '0' into the columns labeled 90, 180, 270).</t>
    </r>
  </si>
  <si>
    <t>State NY</t>
  </si>
  <si>
    <t>3d</t>
  </si>
  <si>
    <t>Zip  11101</t>
  </si>
  <si>
    <t>Carbon Emissions Limit (LL97)</t>
  </si>
  <si>
    <t>Email INFO@CHOSENMEP.COM</t>
  </si>
  <si>
    <t>License Number 091045</t>
  </si>
  <si>
    <t>Occupancy</t>
  </si>
  <si>
    <t>Total Gross SQFT per occupancy</t>
  </si>
  <si>
    <t>5a</t>
  </si>
  <si>
    <t xml:space="preserve">Baseline Rotations </t>
  </si>
  <si>
    <t>2b</t>
  </si>
  <si>
    <t>Modeling Firm</t>
  </si>
  <si>
    <t>Baseline Model</t>
  </si>
  <si>
    <t>Last Name (lead modeler) BEREGOVYKH</t>
  </si>
  <si>
    <r>
      <rPr>
        <rFont val="Calibri"/>
        <b/>
        <color theme="1"/>
        <sz val="9.0"/>
      </rPr>
      <t>tCO</t>
    </r>
    <r>
      <rPr>
        <rFont val="Calibri"/>
        <b/>
        <color theme="1"/>
        <sz val="9.0"/>
        <vertAlign val="subscript"/>
      </rPr>
      <t>2</t>
    </r>
    <r>
      <rPr>
        <rFont val="Calibri"/>
        <b/>
        <color theme="1"/>
        <sz val="9.0"/>
      </rPr>
      <t>e limit (2024)</t>
    </r>
  </si>
  <si>
    <t>4a.</t>
  </si>
  <si>
    <t>First Name (lead modeler) NIKITA</t>
  </si>
  <si>
    <t>Energy Modeling Protocol (select)</t>
  </si>
  <si>
    <r>
      <rPr>
        <rFont val="Calibri"/>
        <b/>
        <color theme="1"/>
        <sz val="9.0"/>
      </rPr>
      <t>tCO</t>
    </r>
    <r>
      <rPr>
        <rFont val="Calibri"/>
        <b/>
        <color theme="1"/>
        <sz val="9.0"/>
        <vertAlign val="subscript"/>
      </rPr>
      <t>2</t>
    </r>
    <r>
      <rPr>
        <rFont val="Calibri"/>
        <b/>
        <color theme="1"/>
        <sz val="9.0"/>
      </rPr>
      <t>e limit (2030)</t>
    </r>
  </si>
  <si>
    <t>Middle Initial</t>
  </si>
  <si>
    <t>Business Name LIBER CREATIVE LLC</t>
  </si>
  <si>
    <t>Email (lead modeler) NVBEREGOVYKH@LIBERPICT.COM</t>
  </si>
  <si>
    <t>0'</t>
  </si>
  <si>
    <t>Business Address 2306 OCEAN AVENUE</t>
  </si>
  <si>
    <t>90'</t>
  </si>
  <si>
    <t>Telephone (lead modeler) 929-356-1398</t>
  </si>
  <si>
    <t>180'</t>
  </si>
  <si>
    <t>Appendix G PRM</t>
  </si>
  <si>
    <t>270'</t>
  </si>
  <si>
    <t>City  BROOKLYN</t>
  </si>
  <si>
    <t>Average of 4 rotations</t>
  </si>
  <si>
    <t>Model Output Location (Report)</t>
  </si>
  <si>
    <t>Zip  11229</t>
  </si>
  <si>
    <t>Annual usage (kwh/therm/kBTU)</t>
  </si>
  <si>
    <t>3a</t>
  </si>
  <si>
    <t>Energy Modeling Information</t>
  </si>
  <si>
    <t>kwh</t>
  </si>
  <si>
    <t>therm</t>
  </si>
  <si>
    <t>3b</t>
  </si>
  <si>
    <t>kBTU</t>
  </si>
  <si>
    <t>Energy Modeling Information per Modeled Square Feet</t>
  </si>
  <si>
    <t>Modeling Protocol (Sect 11 or Apx G)</t>
  </si>
  <si>
    <t>4b.</t>
  </si>
  <si>
    <t>Purchased Energy Rates &amp; Compliance Documentation</t>
  </si>
  <si>
    <t xml:space="preserve">Proposed </t>
  </si>
  <si>
    <t>Interior Lighting</t>
  </si>
  <si>
    <t>Fuel</t>
  </si>
  <si>
    <t>Total Energy Cost ($/sf)</t>
  </si>
  <si>
    <t>Utility Rate Provider/Rate Structure (i.e ConEd)</t>
  </si>
  <si>
    <t>Virtual Utility Rate ($/unit)</t>
  </si>
  <si>
    <t>Modeling Software &amp; version</t>
  </si>
  <si>
    <t>Baseline Design
Total Charge ($)</t>
  </si>
  <si>
    <t>EnergyPlus Version 25.1.0-1c11a3d85f</t>
  </si>
  <si>
    <t>Proposed Design Total Charge ($)</t>
  </si>
  <si>
    <t>Supporting Doc. Location</t>
  </si>
  <si>
    <t>Model Output Report</t>
  </si>
  <si>
    <t>Site EUI (kBtu/sf)</t>
  </si>
  <si>
    <t>Electric</t>
  </si>
  <si>
    <t>Con Edison</t>
  </si>
  <si>
    <t>Weather File</t>
  </si>
  <si>
    <t>NEW YORK LAGUARDIA ARPT NY USA TMY3</t>
  </si>
  <si>
    <t>BEPU</t>
  </si>
  <si>
    <t>Source EUI (kBtu/sf)</t>
  </si>
  <si>
    <t>Misc. Equip. Unregulated</t>
  </si>
  <si>
    <t>Proposed Unmet Load Hours</t>
  </si>
  <si>
    <t>Energy Model (Appendix G)</t>
  </si>
  <si>
    <t>BEPU, BEPU-P</t>
  </si>
  <si>
    <r>
      <rPr>
        <rFont val="Calibri"/>
        <color theme="1"/>
        <sz val="9.0"/>
      </rPr>
      <t>GHG (tCO</t>
    </r>
    <r>
      <rPr>
        <rFont val="Calibri"/>
        <color theme="1"/>
        <sz val="9.0"/>
        <vertAlign val="subscript"/>
      </rPr>
      <t>2</t>
    </r>
    <r>
      <rPr>
        <rFont val="Calibri"/>
        <color theme="1"/>
        <sz val="9.0"/>
      </rPr>
      <t>e/sf)</t>
    </r>
  </si>
  <si>
    <t>Gas/Steam</t>
  </si>
  <si>
    <t>Baseline Unmet Load Hours</t>
  </si>
  <si>
    <t>Misc. Equip. Regulated</t>
  </si>
  <si>
    <t>Baseline</t>
  </si>
  <si>
    <t>Gross Square Feet</t>
  </si>
  <si>
    <t>Other - ($/kBTU)</t>
  </si>
  <si>
    <t>Modeled Square Feet</t>
  </si>
  <si>
    <t>Space Heat</t>
  </si>
  <si>
    <t>COST SAVINGS</t>
  </si>
  <si>
    <t>COMPLIES?</t>
  </si>
  <si>
    <t>Conditioned Square Feet</t>
  </si>
  <si>
    <r>
      <rPr>
        <rFont val="Calibri"/>
        <color theme="1"/>
        <sz val="9.0"/>
      </rPr>
      <t>GHG (tCO</t>
    </r>
    <r>
      <rPr>
        <rFont val="Calibri"/>
        <color theme="1"/>
        <sz val="9.0"/>
        <vertAlign val="subscript"/>
      </rPr>
      <t>2</t>
    </r>
    <r>
      <rPr>
        <rFont val="Calibri"/>
        <color theme="1"/>
        <sz val="9.0"/>
      </rPr>
      <t>e/sf)</t>
    </r>
  </si>
  <si>
    <t>TOTAL</t>
  </si>
  <si>
    <t>Semi-heated Square Feet</t>
  </si>
  <si>
    <t>% Savings</t>
  </si>
  <si>
    <t>Space Cool</t>
  </si>
  <si>
    <t>Unconditioned Square Feet</t>
  </si>
  <si>
    <t>3c</t>
  </si>
  <si>
    <t>List all Job Numbers Associated with this Model</t>
  </si>
  <si>
    <r>
      <rPr>
        <rFont val="Calibri"/>
        <color theme="1"/>
        <sz val="9.0"/>
      </rPr>
      <t>GHG (tCO</t>
    </r>
    <r>
      <rPr>
        <rFont val="Calibri"/>
        <color theme="1"/>
        <sz val="9.0"/>
        <vertAlign val="subscript"/>
      </rPr>
      <t>2</t>
    </r>
    <r>
      <rPr>
        <rFont val="Calibri"/>
        <color theme="1"/>
        <sz val="9.0"/>
      </rPr>
      <t>e/sf)</t>
    </r>
  </si>
  <si>
    <t>Heat Rejection</t>
  </si>
  <si>
    <t>ARCHITECTURAL</t>
  </si>
  <si>
    <t>B01304513-P1</t>
  </si>
  <si>
    <t>MECHANICAL</t>
  </si>
  <si>
    <t>B01304513-P6</t>
  </si>
  <si>
    <t>PLUMBING</t>
  </si>
  <si>
    <t>B01304513-P5</t>
  </si>
  <si>
    <t>GHG Building Emission Limits</t>
  </si>
  <si>
    <t>Pumps &amp; Misc</t>
  </si>
  <si>
    <t>4c.</t>
  </si>
  <si>
    <t>Performance Cost Index - Appendix G ONLY</t>
  </si>
  <si>
    <t>4d.</t>
  </si>
  <si>
    <t>Performance Source Energy  Index - Appendix G ONLY</t>
  </si>
  <si>
    <t>Baseline Building</t>
  </si>
  <si>
    <t>Proposed Building</t>
  </si>
  <si>
    <t>Proposed Building GHG (estimated from model)</t>
  </si>
  <si>
    <t>Vent Fans</t>
  </si>
  <si>
    <t>Building Performance Factor</t>
  </si>
  <si>
    <t>3e</t>
  </si>
  <si>
    <t>Carbon Emissions Proposed Building (LL97)</t>
  </si>
  <si>
    <t>Dom. Hot Water</t>
  </si>
  <si>
    <t>Carbon Emissions Baseline Building (LL97)</t>
  </si>
  <si>
    <t>Multifamily</t>
  </si>
  <si>
    <t>(kBTU)</t>
  </si>
  <si>
    <t>tCO2e per kBTU</t>
  </si>
  <si>
    <t>tCO2e</t>
  </si>
  <si>
    <t>Electricity (kwh)</t>
  </si>
  <si>
    <t>Exterior Lighting</t>
  </si>
  <si>
    <t>Baseline Regulated Cost</t>
  </si>
  <si>
    <t>Baseline Regulated Source Energy</t>
  </si>
  <si>
    <t>Exterior Misc.</t>
  </si>
  <si>
    <t>Natural Gas</t>
  </si>
  <si>
    <t>Baseline Unregulated Cost</t>
  </si>
  <si>
    <t>#2 Fuel Oil</t>
  </si>
  <si>
    <t>Baseline Unregulated Source Energy</t>
  </si>
  <si>
    <t>#4 Fuel Oil</t>
  </si>
  <si>
    <t>District Steam</t>
  </si>
  <si>
    <t>Total Energy Cost</t>
  </si>
  <si>
    <t>Carbon Emissions Information (LL97)</t>
  </si>
  <si>
    <t>Annual cost ($)</t>
  </si>
  <si>
    <t>Total Source Energy</t>
  </si>
  <si>
    <r>
      <rPr>
        <rFont val="Calibri"/>
        <b/>
        <color theme="1"/>
        <sz val="9.0"/>
      </rPr>
      <t>tCO</t>
    </r>
    <r>
      <rPr>
        <rFont val="Calibri"/>
        <b/>
        <color theme="1"/>
        <sz val="9.0"/>
        <vertAlign val="subscript"/>
      </rPr>
      <t>2</t>
    </r>
    <r>
      <rPr>
        <rFont val="Calibri"/>
        <b/>
        <color theme="1"/>
        <sz val="9.0"/>
      </rPr>
      <t>e Limits for 2024-2029</t>
    </r>
  </si>
  <si>
    <r>
      <rPr>
        <rFont val="Calibri"/>
        <b/>
        <color theme="1"/>
        <sz val="9.0"/>
      </rPr>
      <t>tCO</t>
    </r>
    <r>
      <rPr>
        <rFont val="Calibri"/>
        <b/>
        <color theme="1"/>
        <sz val="9.0"/>
        <vertAlign val="subscript"/>
      </rPr>
      <t>2</t>
    </r>
    <r>
      <rPr>
        <rFont val="Calibri"/>
        <b/>
        <color theme="1"/>
        <sz val="9.0"/>
      </rPr>
      <t>e Limits for 2030-2034</t>
    </r>
  </si>
  <si>
    <r>
      <rPr>
        <rFont val="Calibri"/>
        <color theme="1"/>
        <sz val="11.0"/>
      </rPr>
      <t>tCO</t>
    </r>
    <r>
      <rPr>
        <rFont val="Calibri"/>
        <color theme="1"/>
        <sz val="11.0"/>
        <vertAlign val="subscript"/>
      </rPr>
      <t>2</t>
    </r>
    <r>
      <rPr>
        <rFont val="Calibri"/>
        <color theme="1"/>
        <sz val="11.0"/>
      </rPr>
      <t>e Limit (LL97)</t>
    </r>
  </si>
  <si>
    <t>Performance Cost Index</t>
  </si>
  <si>
    <t>5b</t>
  </si>
  <si>
    <t>Energy Modeling Usage Summary</t>
  </si>
  <si>
    <t>Performance Source Energy Index</t>
  </si>
  <si>
    <r>
      <rPr>
        <rFont val="Calibri"/>
        <color theme="1"/>
        <sz val="11.0"/>
      </rPr>
      <t>tCO</t>
    </r>
    <r>
      <rPr>
        <rFont val="Calibri"/>
        <color theme="1"/>
        <sz val="11.0"/>
        <vertAlign val="subscript"/>
      </rPr>
      <t>2</t>
    </r>
    <r>
      <rPr>
        <rFont val="Calibri"/>
        <color theme="1"/>
        <sz val="11.0"/>
      </rPr>
      <t>e for this Building</t>
    </r>
  </si>
  <si>
    <t>Does this building comply with LL97?</t>
  </si>
  <si>
    <t>Proposed Model</t>
  </si>
  <si>
    <t>4e.</t>
  </si>
  <si>
    <t>Weighted BPF</t>
  </si>
  <si>
    <t>Electric Usage (kwh)</t>
  </si>
  <si>
    <t>Gas/Steam Usage (Therm)</t>
  </si>
  <si>
    <t>Other (i.e. chilled water) (kBTU)</t>
  </si>
  <si>
    <t>% Usage</t>
  </si>
  <si>
    <t>4f.</t>
  </si>
  <si>
    <t>Weighted Envelope Backstop (results from ComCheck)</t>
  </si>
  <si>
    <t>Energy Savings Per End Use (%)</t>
  </si>
  <si>
    <t>Cost Savings per End Use (%)</t>
  </si>
  <si>
    <t>Other</t>
  </si>
  <si>
    <r>
      <rPr>
        <rFont val="Calibri"/>
        <color theme="1"/>
        <sz val="9.0"/>
      </rPr>
      <t>**Total carbon emissions (tCO</t>
    </r>
    <r>
      <rPr>
        <rFont val="Calibri"/>
        <color theme="1"/>
        <sz val="9.0"/>
        <vertAlign val="subscript"/>
      </rPr>
      <t>2</t>
    </r>
    <r>
      <rPr>
        <rFont val="Calibri"/>
        <color theme="1"/>
        <sz val="9.0"/>
      </rPr>
      <t>e) for this building is an estimate for informational purposes based on the proposed occupancy, gross square footage, and modeled annual energy usage. The performance of the building will be affected by construction quality, occupancy, and operational impacts.  Actual carbon emissions may be higher or lower than this estimate. **</t>
    </r>
  </si>
  <si>
    <t>Space Classification</t>
  </si>
  <si>
    <t>Modeled Area</t>
  </si>
  <si>
    <t>Weighted BPF (energy cost)</t>
  </si>
  <si>
    <t>Allowable Margin (baseline)</t>
  </si>
  <si>
    <t>All Other</t>
  </si>
  <si>
    <t>Envelope Design (proposed)</t>
  </si>
  <si>
    <t>Dormitory</t>
  </si>
  <si>
    <t>Weighted BPF (source energy)</t>
  </si>
  <si>
    <t>Healthcare/
hospital</t>
  </si>
  <si>
    <t>Hotel/motel</t>
  </si>
  <si>
    <t>Office</t>
  </si>
  <si>
    <t>Restaurant</t>
  </si>
  <si>
    <t>Retail</t>
  </si>
  <si>
    <t>School</t>
  </si>
  <si>
    <t>Warehouse</t>
  </si>
  <si>
    <t>Other Usage (i.e. chilled water)
(indicate units)</t>
  </si>
  <si>
    <t>Misc. Equip.</t>
  </si>
  <si>
    <t xml:space="preserve">6a </t>
  </si>
  <si>
    <t>Above-Grade Wall &amp; Fenestration Areas</t>
  </si>
  <si>
    <t>Baseline Case</t>
  </si>
  <si>
    <t>5c</t>
  </si>
  <si>
    <t>Proposed Case</t>
  </si>
  <si>
    <t>Energy Related Design Features</t>
  </si>
  <si>
    <r>
      <rPr>
        <rFont val="Calibri"/>
        <color theme="1"/>
        <sz val="11.0"/>
      </rPr>
      <t xml:space="preserve">List energy related features in the design that </t>
    </r>
    <r>
      <rPr>
        <rFont val="Calibri"/>
        <color theme="1"/>
        <sz val="11.0"/>
        <u/>
      </rPr>
      <t>exceed</t>
    </r>
    <r>
      <rPr>
        <rFont val="Calibri"/>
        <color theme="1"/>
        <sz val="11.0"/>
      </rPr>
      <t xml:space="preserve"> the mandatory/prescriptive requirements under each category.</t>
    </r>
  </si>
  <si>
    <r>
      <rPr>
        <rFont val="Calibri"/>
        <color theme="1"/>
        <sz val="11.0"/>
      </rPr>
      <t xml:space="preserve">List energy related features in the design that </t>
    </r>
    <r>
      <rPr>
        <rFont val="Calibri"/>
        <color theme="1"/>
        <sz val="11.0"/>
        <u/>
      </rPr>
      <t>do not meet</t>
    </r>
    <r>
      <rPr>
        <rFont val="Calibri"/>
        <color theme="1"/>
        <sz val="11.0"/>
      </rPr>
      <t xml:space="preserve"> the prescriptive requirements under each category.</t>
    </r>
  </si>
  <si>
    <t>Above-Grade Wall &amp; Vertical Glazing Area by Orientation</t>
  </si>
  <si>
    <t>Orientation</t>
  </si>
  <si>
    <t>Opaque Envelope</t>
  </si>
  <si>
    <r>
      <rPr>
        <rFont val="Arial"/>
        <color theme="1"/>
        <sz val="8.0"/>
      </rPr>
      <t>Window + Wall Area (ft</t>
    </r>
    <r>
      <rPr>
        <rFont val="Arial"/>
        <color theme="1"/>
        <sz val="8.0"/>
        <vertAlign val="superscript"/>
      </rPr>
      <t>2</t>
    </r>
    <r>
      <rPr>
        <rFont val="Arial"/>
        <color theme="1"/>
        <sz val="8.0"/>
      </rPr>
      <t>)</t>
    </r>
  </si>
  <si>
    <t>High-performance insulated roof assembly exceeding minimum NYCECC thermal requirements.
Insulated exterior wall assemblies with continuous insulation.</t>
  </si>
  <si>
    <t>Vertical Glazing Area</t>
  </si>
  <si>
    <r>
      <rPr>
        <rFont val="Arial"/>
        <color theme="1"/>
        <sz val="8.0"/>
      </rPr>
      <t>Window + Wall Area (ft</t>
    </r>
    <r>
      <rPr>
        <rFont val="Arial"/>
        <color theme="1"/>
        <sz val="8.0"/>
        <vertAlign val="superscript"/>
      </rPr>
      <t>2</t>
    </r>
    <r>
      <rPr>
        <rFont val="Arial"/>
        <color theme="1"/>
        <sz val="8.0"/>
      </rPr>
      <t>)</t>
    </r>
  </si>
  <si>
    <r>
      <rPr>
        <rFont val="Arial"/>
        <color theme="1"/>
        <sz val="8.0"/>
      </rPr>
      <t>(ft</t>
    </r>
    <r>
      <rPr>
        <rFont val="Arial"/>
        <color theme="1"/>
        <sz val="8.0"/>
        <vertAlign val="superscript"/>
      </rPr>
      <t>2</t>
    </r>
    <r>
      <rPr>
        <rFont val="Arial"/>
        <color theme="1"/>
        <sz val="8.0"/>
      </rPr>
      <t>)</t>
    </r>
  </si>
  <si>
    <t>(%)</t>
  </si>
  <si>
    <r>
      <rPr>
        <rFont val="Arial"/>
        <color theme="1"/>
        <sz val="8.0"/>
      </rPr>
      <t>(ft</t>
    </r>
    <r>
      <rPr>
        <rFont val="Arial"/>
        <color theme="1"/>
        <sz val="8.0"/>
        <vertAlign val="superscript"/>
      </rPr>
      <t>2</t>
    </r>
    <r>
      <rPr>
        <rFont val="Arial"/>
        <color theme="1"/>
        <sz val="8.0"/>
      </rPr>
      <t>)</t>
    </r>
  </si>
  <si>
    <t>Fenestration &amp; WWR</t>
  </si>
  <si>
    <t>North</t>
  </si>
  <si>
    <t>High-performance triple-pane low-E windows with U-factor and SHGC exceeding prescriptive limits.
Window-to-wall ratio maintained below maximum allowable limits.</t>
  </si>
  <si>
    <t>EN-006</t>
  </si>
  <si>
    <t>ERV, ERV-W</t>
  </si>
  <si>
    <t>Ventilation Systems</t>
  </si>
  <si>
    <t>Central energy recovery ventilator (ERV) providing heat recovery in excess of prescriptive requirements.</t>
  </si>
  <si>
    <t>East</t>
  </si>
  <si>
    <t>South</t>
  </si>
  <si>
    <t>Cooling Systems</t>
  </si>
  <si>
    <t>High-efficiency air-source heat pump systems exceeding minimum efficiency requirements.</t>
  </si>
  <si>
    <t>West</t>
  </si>
  <si>
    <t>Heating Systems</t>
  </si>
  <si>
    <t>Total</t>
  </si>
  <si>
    <t xml:space="preserve">High-efficiency air-source heat pump heating </t>
  </si>
  <si>
    <t>with variable-speed operation.</t>
  </si>
  <si>
    <t>Roof &amp; Skylight Area</t>
  </si>
  <si>
    <r>
      <rPr>
        <rFont val="Arial"/>
        <color theme="1"/>
        <sz val="8.0"/>
      </rPr>
      <t>Roof + Skylight Area (ft</t>
    </r>
    <r>
      <rPr>
        <rFont val="Arial"/>
        <color theme="1"/>
        <sz val="8.0"/>
        <vertAlign val="superscript"/>
      </rPr>
      <t>2</t>
    </r>
    <r>
      <rPr>
        <rFont val="Arial"/>
        <color theme="1"/>
        <sz val="8.0"/>
      </rPr>
      <t>)</t>
    </r>
  </si>
  <si>
    <t>Skylight Area</t>
  </si>
  <si>
    <r>
      <rPr>
        <rFont val="Arial"/>
        <color theme="1"/>
        <sz val="8.0"/>
      </rPr>
      <t>Roof + Skylight Area (ft</t>
    </r>
    <r>
      <rPr>
        <rFont val="Arial"/>
        <color theme="1"/>
        <sz val="8.0"/>
        <vertAlign val="superscript"/>
      </rPr>
      <t>2</t>
    </r>
    <r>
      <rPr>
        <rFont val="Arial"/>
        <color theme="1"/>
        <sz val="8.0"/>
      </rPr>
      <t>)</t>
    </r>
  </si>
  <si>
    <r>
      <rPr>
        <rFont val="Arial"/>
        <color theme="1"/>
        <sz val="8.0"/>
      </rPr>
      <t>(ft</t>
    </r>
    <r>
      <rPr>
        <rFont val="Arial"/>
        <color theme="1"/>
        <sz val="8.0"/>
        <vertAlign val="superscript"/>
      </rPr>
      <t>2</t>
    </r>
    <r>
      <rPr>
        <rFont val="Arial"/>
        <color theme="1"/>
        <sz val="8.0"/>
      </rPr>
      <t>)</t>
    </r>
  </si>
  <si>
    <t>Service Water Heating</t>
  </si>
  <si>
    <r>
      <rPr>
        <rFont val="Arial"/>
        <color theme="1"/>
        <sz val="8.0"/>
      </rPr>
      <t>(ft</t>
    </r>
    <r>
      <rPr>
        <rFont val="Arial"/>
        <color theme="1"/>
        <sz val="8.0"/>
        <vertAlign val="superscript"/>
      </rPr>
      <t>2</t>
    </r>
    <r>
      <rPr>
        <rFont val="Arial"/>
        <color theme="1"/>
        <sz val="8.0"/>
      </rPr>
      <t>)</t>
    </r>
  </si>
  <si>
    <t>All-electric service water heating system with demand-controlled hot water recirculation.</t>
  </si>
  <si>
    <t>EN-007</t>
  </si>
  <si>
    <t>SV-A, SV-A-P</t>
  </si>
  <si>
    <t>Lighting Power</t>
  </si>
  <si>
    <t>Interior lighting power densities below prescriptive maximums using high-efficiency LED fixtures.
Exterior lighting power below prescriptive allowances.</t>
  </si>
  <si>
    <t>Lighting Controls</t>
  </si>
  <si>
    <t>Automatic lighting controls including occupancy sensors and time-based controls in accordance with NYCECC.</t>
  </si>
  <si>
    <t>List energy related features that are included in the design and contribute to the energy savings in Section 5.</t>
  </si>
  <si>
    <t>Fully electric building design reducing fossil fuel use and associated emissions.</t>
  </si>
  <si>
    <t>6b</t>
  </si>
  <si>
    <t>Vertical Fenestration</t>
  </si>
  <si>
    <t>Model Input Parameter</t>
  </si>
  <si>
    <t>Category (Res/Non-Res)</t>
  </si>
  <si>
    <t>Item #</t>
  </si>
  <si>
    <t>Description
(from ASHRAE)</t>
  </si>
  <si>
    <t>U-factor</t>
  </si>
  <si>
    <t>SHGC</t>
  </si>
  <si>
    <t>VLT</t>
  </si>
  <si>
    <t>Description (from design)</t>
  </si>
  <si>
    <t>% Overall Wall/Roof Area</t>
  </si>
  <si>
    <t>6c</t>
  </si>
  <si>
    <t>Opaque Elements</t>
  </si>
  <si>
    <t xml:space="preserve">Vertical  </t>
  </si>
  <si>
    <t>Residential</t>
  </si>
  <si>
    <t>Metal framing (fixed), below 95ft</t>
  </si>
  <si>
    <t xml:space="preserve">Space-Conditioning Category </t>
  </si>
  <si>
    <t>Supporting Doc Location</t>
  </si>
  <si>
    <t>Description</t>
  </si>
  <si>
    <t>U-factor/ C-factor/ F-factor</t>
  </si>
  <si>
    <t>Assembly U-factor/ C-factor/ F-factor</t>
  </si>
  <si>
    <t>% of above-grade wall</t>
  </si>
  <si>
    <t>Roof Construction</t>
  </si>
  <si>
    <t>Insulation Entirely Above Deck</t>
  </si>
  <si>
    <t>Triple Pane Low-E (A-400)</t>
  </si>
  <si>
    <t>A-400.00</t>
  </si>
  <si>
    <t>Roof assembly (TPO + 6" spray foam + 3" GPS rigid)</t>
  </si>
  <si>
    <t>A-500</t>
  </si>
  <si>
    <t>Solar Reflectance</t>
  </si>
  <si>
    <t>SR =</t>
  </si>
  <si>
    <r>
      <rPr>
        <rFont val="Calibri"/>
        <color theme="1"/>
        <sz val="9.0"/>
      </rPr>
      <t xml:space="preserve">Above-Grade Exterior Wall Construction 
</t>
    </r>
    <r>
      <rPr>
        <rFont val="Calibri"/>
        <color theme="1"/>
        <sz val="8.0"/>
      </rPr>
      <t xml:space="preserve">(Values on this tab should align with modeled inputs. For additional rows, use tab 6c2) </t>
    </r>
  </si>
  <si>
    <t>Steel-Framed</t>
  </si>
  <si>
    <t>Ext wall (brick veneer + EIFS R-8 + spray foam)</t>
  </si>
  <si>
    <t>Below-Grade Exterior Wall Construction</t>
  </si>
  <si>
    <t>Semiheated</t>
  </si>
  <si>
    <t>Below-Grade Wall</t>
  </si>
  <si>
    <t>Below-grade concrete wall with continuous rigid insulation</t>
  </si>
  <si>
    <t>Exposed Floor Construction</t>
  </si>
  <si>
    <t> Slab-On-Grade Floors</t>
  </si>
  <si>
    <t>Unheated</t>
  </si>
  <si>
    <t>Slab on grade (unheated)</t>
  </si>
  <si>
    <t>Opaque Doors</t>
  </si>
  <si>
    <t>Swinging</t>
  </si>
  <si>
    <t>Exterior doors (U=0.30, SHGC=0.30) per A-400</t>
  </si>
  <si>
    <t>Total % Opaque Wall</t>
  </si>
  <si>
    <t>Skylight</t>
  </si>
  <si>
    <t>Opaque Elements - Weighted Average</t>
  </si>
  <si>
    <t>Shading Devices</t>
  </si>
  <si>
    <t>Shading projections, manual shading devices, or self-shading have been modeled.</t>
  </si>
  <si>
    <t>List any permanent or auto-controlled shading devices:</t>
  </si>
  <si>
    <t>Total % WWR</t>
  </si>
  <si>
    <t>Any shading by adjacent structures has been modeled identically to the proposed case.</t>
  </si>
  <si>
    <t xml:space="preserve">Total % skylt </t>
  </si>
  <si>
    <t>6d.1</t>
  </si>
  <si>
    <t xml:space="preserve">Interior LPD: Space-by-Space Method </t>
  </si>
  <si>
    <t xml:space="preserve">Space Type (Table 9.6.1) </t>
  </si>
  <si>
    <r>
      <rPr>
        <rFont val="Calibri"/>
        <color theme="1"/>
        <sz val="8.0"/>
      </rPr>
      <t>Total Area  Space/Blg Type (ft</t>
    </r>
    <r>
      <rPr>
        <rFont val="Calibri"/>
        <color theme="1"/>
        <sz val="8.0"/>
        <vertAlign val="superscript"/>
      </rPr>
      <t>2</t>
    </r>
    <r>
      <rPr>
        <rFont val="Calibri"/>
        <color theme="1"/>
        <sz val="8.0"/>
      </rPr>
      <t>)</t>
    </r>
  </si>
  <si>
    <t>Additional Power Allowance?</t>
  </si>
  <si>
    <t>Auto. Controls (Yes/No)</t>
  </si>
  <si>
    <t>Daylight Ctrls (Yes/No)</t>
  </si>
  <si>
    <t>Baseline LPD</t>
  </si>
  <si>
    <t>Type</t>
  </si>
  <si>
    <t>Add'l LPD</t>
  </si>
  <si>
    <t>Proposed LPD</t>
  </si>
  <si>
    <t>(W/ft2)</t>
  </si>
  <si>
    <t>Above-Grade Opaque Wall Construction</t>
  </si>
  <si>
    <t>6d.2</t>
  </si>
  <si>
    <t>Interior LPD: Building Area Method</t>
  </si>
  <si>
    <t>6e</t>
  </si>
  <si>
    <t>Exterior Lighting  Power</t>
  </si>
  <si>
    <t>Building Area Type (Table 9.5.1)</t>
  </si>
  <si>
    <r>
      <rPr>
        <rFont val="Calibri"/>
        <color theme="1"/>
        <sz val="8.0"/>
      </rPr>
      <t>Total Area  Space/Blg Type (ft</t>
    </r>
    <r>
      <rPr>
        <rFont val="Calibri"/>
        <color theme="1"/>
        <sz val="8.0"/>
        <vertAlign val="superscript"/>
      </rPr>
      <t>2</t>
    </r>
    <r>
      <rPr>
        <rFont val="Calibri"/>
        <color theme="1"/>
        <sz val="8.0"/>
      </rPr>
      <t>)</t>
    </r>
  </si>
  <si>
    <t>Baseline Design (Watts)</t>
  </si>
  <si>
    <t>Proposed Design (Watts)</t>
  </si>
  <si>
    <t>Tradable Lighting Power</t>
  </si>
  <si>
    <t>Modeled LPD</t>
  </si>
  <si>
    <t>RCP-001</t>
  </si>
  <si>
    <t>LV-C, LV-D</t>
  </si>
  <si>
    <t>Non-Tradable Lighting Power</t>
  </si>
  <si>
    <t>No</t>
  </si>
  <si>
    <t>Base Site Allowance</t>
  </si>
  <si>
    <t>Yes</t>
  </si>
  <si>
    <t>Total Lighting Power</t>
  </si>
  <si>
    <t>Base Site Allowance (watts)</t>
  </si>
  <si>
    <t>Area Type</t>
  </si>
  <si>
    <t>Area Parameters</t>
  </si>
  <si>
    <t>Length or Area (FT or SQFT)</t>
  </si>
  <si>
    <t>Proposed Watts</t>
  </si>
  <si>
    <t>Baseline Watts</t>
  </si>
  <si>
    <t>Unit Allowances</t>
  </si>
  <si>
    <t>Tradable Surfaces</t>
  </si>
  <si>
    <t>Uncovered Parking Areas</t>
  </si>
  <si>
    <t>Total area of uncovered parking and drive areas (sq.ft):</t>
  </si>
  <si>
    <t>W/SF</t>
  </si>
  <si>
    <t>Building Grounds</t>
  </si>
  <si>
    <t xml:space="preserve">Length of walkways less than 10' wide </t>
  </si>
  <si>
    <t>Area of walkways greater than 10' wide</t>
  </si>
  <si>
    <t>Plaza areas (sqft)</t>
  </si>
  <si>
    <t>Special feature areas (sqft)</t>
  </si>
  <si>
    <t>Dining ares (sqft)</t>
  </si>
  <si>
    <t>Area of stairways (sqft)</t>
  </si>
  <si>
    <t>Area of pedestrian tunnels (sqft)</t>
  </si>
  <si>
    <t>Area of landscaping (sq.ft):</t>
  </si>
  <si>
    <t>Building Entrances &amp; Exits</t>
  </si>
  <si>
    <t>Total door width of pedestrian and vehicular entrances and exits  (ft):</t>
  </si>
  <si>
    <t>W/FT</t>
  </si>
  <si>
    <t>Area of entry canopies (sq.ft):</t>
  </si>
  <si>
    <t>Loading Docks (sq.ft):</t>
  </si>
  <si>
    <t>Sales canopies</t>
  </si>
  <si>
    <t xml:space="preserve">Free standing and attached (sq.ft): </t>
  </si>
  <si>
    <t>Outdoor sales areas</t>
  </si>
  <si>
    <t>Open areas (including vehicle sales and lots) (sq.ft):</t>
  </si>
  <si>
    <t>Total length of street frontage for vehicle sales (ft):</t>
  </si>
  <si>
    <t>Non Tradable Surfaces</t>
  </si>
  <si>
    <t>Building façades</t>
  </si>
  <si>
    <t>Area of façade #1 (sqft)</t>
  </si>
  <si>
    <t>Length of façade #1 (ft)</t>
  </si>
  <si>
    <t>Area of façade #2 (sqft)</t>
  </si>
  <si>
    <t>Length of façade #2 (ft)</t>
  </si>
  <si>
    <t>Area of façade #3 (sqft)</t>
  </si>
  <si>
    <t>Length of façade #3 (ft)</t>
  </si>
  <si>
    <t>Area of façade #4 (sqft)</t>
  </si>
  <si>
    <t>Length of façade #4 (ft)</t>
  </si>
  <si>
    <t>ATMs</t>
  </si>
  <si>
    <t># of Locations:</t>
  </si>
  <si>
    <t>Total # of ATMs:</t>
  </si>
  <si>
    <t>Guarded facility entrances</t>
  </si>
  <si>
    <t>Area of uncovered entrances and gatehouse inspection areas at guarded facilities (sq.ft):</t>
  </si>
  <si>
    <t>Emergency Vehicle Loading Area</t>
  </si>
  <si>
    <t>Area of uncovered loading areas for emergency service vehicles (sq.ft):</t>
  </si>
  <si>
    <t>Drive-throughs</t>
  </si>
  <si>
    <t># of drive-throughs:</t>
  </si>
  <si>
    <t>Watts/drive thru</t>
  </si>
  <si>
    <t>Parking near 24-hour retail entrances (main only)</t>
  </si>
  <si>
    <t># of main entrances:</t>
  </si>
  <si>
    <t>Watts/entrance</t>
  </si>
  <si>
    <t>6f.1</t>
  </si>
  <si>
    <t>Miscellaneous Equipment - Regulated</t>
  </si>
  <si>
    <t>Space Type (or Equipment Type)</t>
  </si>
  <si>
    <t>Space Area (or # Equip.)</t>
  </si>
  <si>
    <t>Equipment Power Density (W/SF) or (Equip Demand)</t>
  </si>
  <si>
    <t>Annual kwh</t>
  </si>
  <si>
    <t>Modeling Parameters/
Schedule</t>
  </si>
  <si>
    <t>Baseline Modeled Identically? (Yes/No)</t>
  </si>
  <si>
    <t>#</t>
  </si>
  <si>
    <t>Elevators</t>
  </si>
  <si>
    <t>Escalators</t>
  </si>
  <si>
    <t>6g.</t>
  </si>
  <si>
    <t>Service Hot Water Systems</t>
  </si>
  <si>
    <t>Comm. Kitchen Equip</t>
  </si>
  <si>
    <t>Office Receptacles</t>
  </si>
  <si>
    <t>Baseline Design</t>
  </si>
  <si>
    <t>Units</t>
  </si>
  <si>
    <t>Proposed Design</t>
  </si>
  <si>
    <t>System Type &amp; Fuel</t>
  </si>
  <si>
    <t>Electric Storage Water Heater(s) + POU</t>
  </si>
  <si>
    <t>PLUMBING SCHEDULES</t>
  </si>
  <si>
    <t>Input Rating</t>
  </si>
  <si>
    <t>kBtu/h</t>
  </si>
  <si>
    <t>kW</t>
  </si>
  <si>
    <t>Efficiency</t>
  </si>
  <si>
    <t>EF</t>
  </si>
  <si>
    <t>Et</t>
  </si>
  <si>
    <t>Storage Volume</t>
  </si>
  <si>
    <t>Total % Opaque Roof</t>
  </si>
  <si>
    <t>Gal</t>
  </si>
  <si>
    <t>Storage Temperature</t>
  </si>
  <si>
    <t>°F</t>
  </si>
  <si>
    <t>6f.2</t>
  </si>
  <si>
    <t>Miscellaneous Equipment - Un-Regulated</t>
  </si>
  <si>
    <t>Peak HW Demand</t>
  </si>
  <si>
    <t>GPM</t>
  </si>
  <si>
    <t>Number of Primary DHW pumps</t>
  </si>
  <si>
    <t>SQFT</t>
  </si>
  <si>
    <t>Primary DHW Pump Power</t>
  </si>
  <si>
    <t>Primary DHW Pump Control</t>
  </si>
  <si>
    <t>RES</t>
  </si>
  <si>
    <t>Constant (baseline default)</t>
  </si>
  <si>
    <t>Demand controlled / continuous (per MEP)</t>
  </si>
  <si>
    <t>6h    HVAC and SHW Narrative</t>
  </si>
  <si>
    <t>Energy model</t>
  </si>
  <si>
    <t>Please provide a narrative of the building's heating, cooling, ventilation &amp; service hot water systems</t>
  </si>
  <si>
    <t>The proposed building is a new multifamily residential building. Space heating and cooling are provided by individual air-source split-system heat pumps serving each dwelling unit, with outdoor condensing units located on the roof and indoor air handlers within the conditioned spaces. Outdoor ventilation air is provided by a central energy recovery ventilator (ERV) in accordance with ASHRAE 62.1, with exhaust from kitchens and bathrooms discharged to the roof.
Service hot water is provided by electric storage water heaters with supplemental point-of-use electric water heaters. The system operates at a storage temperature of 120°F and includes demand-controlled hot water recirculation. For energy code compliance using ASHRAE 90.1-2019 Appendix G, the baseline building is modeled with a gas-fired storage water heater, while the proposed design reflects the all-electric service water heating system shown on the plumbing drawings.</t>
  </si>
  <si>
    <r>
      <rPr>
        <rFont val="Calibri"/>
        <b/>
        <color theme="1"/>
        <sz val="11.0"/>
      </rPr>
      <t xml:space="preserve">Overview: </t>
    </r>
    <r>
      <rPr>
        <rFont val="Calibri"/>
        <color theme="1"/>
        <sz val="11.0"/>
      </rPr>
      <t>The HVAC portion of this table is partially automated by using Excel Macros. It is important that the information is entered completely and sequentially. The Macro will create HVAC Air-side Sheets for each Row of HVAC information. For example, the information input on Row 4 will be transferred to a newly created HVAC Air-side Tab. Once there is no information in a Row, the program will stop running.</t>
    </r>
  </si>
  <si>
    <t>HVAC Cover Sheet</t>
  </si>
  <si>
    <r>
      <rPr>
        <rFont val="Calibri"/>
        <b/>
        <color theme="1"/>
        <sz val="12.0"/>
      </rPr>
      <t>Proposed Building Classification</t>
    </r>
    <r>
      <rPr>
        <rFont val="Calibri"/>
        <b/>
        <color theme="1"/>
        <sz val="9.0"/>
      </rPr>
      <t xml:space="preserve"> (auto-populated + drop-down)</t>
    </r>
  </si>
  <si>
    <t>Proposed System Design</t>
  </si>
  <si>
    <t>System Name in Mechanical Schedule</t>
  </si>
  <si>
    <t>System Name in Model Reports (baseline)</t>
  </si>
  <si>
    <t>System Name in Model Reports (proposed)</t>
  </si>
  <si>
    <t>Heating System Classifcation</t>
  </si>
  <si>
    <t>Zone Classification</t>
  </si>
  <si>
    <r>
      <rPr>
        <rFont val="Calibri"/>
        <color theme="1"/>
        <sz val="11.0"/>
      </rPr>
      <t>1.</t>
    </r>
    <r>
      <rPr>
        <rFont val="Times New Roman"/>
        <color theme="1"/>
        <sz val="7.0"/>
      </rPr>
      <t xml:space="preserve">       </t>
    </r>
    <r>
      <rPr>
        <rFont val="Calibri"/>
        <color theme="1"/>
        <sz val="11.0"/>
      </rPr>
      <t>Clear all data fields</t>
    </r>
  </si>
  <si>
    <t xml:space="preserve">Packaged/split-system heat pump </t>
  </si>
  <si>
    <t>Air/None</t>
  </si>
  <si>
    <r>
      <rPr>
        <rFont val="Calibri"/>
        <color theme="1"/>
        <sz val="11.0"/>
      </rPr>
      <t>a.</t>
    </r>
    <r>
      <rPr>
        <rFont val="Times New Roman"/>
        <color theme="1"/>
        <sz val="7.0"/>
      </rPr>
      <t xml:space="preserve">       </t>
    </r>
    <r>
      <rPr>
        <rFont val="Calibri"/>
        <color theme="1"/>
        <sz val="11.0"/>
      </rPr>
      <t>Clear the HVAC Cover sheet by pressing on the ‘Reset’ button (cell G15)</t>
    </r>
  </si>
  <si>
    <t xml:space="preserve">Single-Zone Residential </t>
  </si>
  <si>
    <r>
      <rPr>
        <rFont val="Calibri"/>
        <color theme="1"/>
        <sz val="11.0"/>
      </rPr>
      <t>b.</t>
    </r>
    <r>
      <rPr>
        <rFont val="Times New Roman"/>
        <color theme="1"/>
        <sz val="7.0"/>
      </rPr>
      <t xml:space="preserve">       </t>
    </r>
    <r>
      <rPr>
        <rFont val="Calibri"/>
        <color theme="1"/>
        <sz val="11.0"/>
      </rPr>
      <t>After the prompt “This will erase everything you have filled in. Are you sure?” Click Yes</t>
    </r>
  </si>
  <si>
    <t>6i</t>
  </si>
  <si>
    <t xml:space="preserve">Air-Side HVAC </t>
  </si>
  <si>
    <r>
      <rPr>
        <rFont val="Calibri"/>
        <color theme="1"/>
        <sz val="11.0"/>
      </rPr>
      <t>c.</t>
    </r>
    <r>
      <rPr>
        <rFont val="Times New Roman"/>
        <color theme="1"/>
        <sz val="7.0"/>
      </rPr>
      <t xml:space="preserve">       </t>
    </r>
    <r>
      <rPr>
        <rFont val="Calibri"/>
        <color theme="1"/>
        <sz val="11.0"/>
      </rPr>
      <t>This will erase all data fields in ‘HVAC Cover’ and ‘HVAC Air-side’ tabs</t>
    </r>
  </si>
  <si>
    <t>HVAC System / Group (BASELINE DESIGN)</t>
  </si>
  <si>
    <t>HVAC System / Group (PROPOSED DESIGN)</t>
  </si>
  <si>
    <t xml:space="preserve"> Description</t>
  </si>
  <si>
    <r>
      <rPr>
        <rFont val="Calibri"/>
        <color theme="1"/>
        <sz val="11.0"/>
      </rPr>
      <t>2.</t>
    </r>
    <r>
      <rPr>
        <rFont val="Times New Roman"/>
        <color theme="1"/>
        <sz val="7.0"/>
      </rPr>
      <t xml:space="preserve">       </t>
    </r>
    <r>
      <rPr>
        <rFont val="Calibri"/>
        <color theme="1"/>
        <sz val="11.0"/>
      </rPr>
      <t>Filling in System information (Section 11)</t>
    </r>
  </si>
  <si>
    <t xml:space="preserve">System Description </t>
  </si>
  <si>
    <r>
      <rPr>
        <rFont val="Calibri"/>
        <color theme="1"/>
        <sz val="11.0"/>
      </rPr>
      <t>a.</t>
    </r>
    <r>
      <rPr>
        <rFont val="Times New Roman"/>
        <color theme="1"/>
        <sz val="7.0"/>
      </rPr>
      <t xml:space="preserve">       </t>
    </r>
    <r>
      <rPr>
        <rFont val="Calibri"/>
        <color theme="1"/>
        <sz val="11.0"/>
      </rPr>
      <t>The first proposed system must be input on Row 4.</t>
    </r>
  </si>
  <si>
    <r>
      <rPr>
        <rFont val="Calibri"/>
        <color theme="1"/>
        <sz val="11.0"/>
      </rPr>
      <t>b.</t>
    </r>
    <r>
      <rPr>
        <rFont val="Times New Roman"/>
        <color theme="1"/>
        <sz val="7.0"/>
      </rPr>
      <t xml:space="preserve">       </t>
    </r>
    <r>
      <rPr>
        <rFont val="Calibri"/>
        <color theme="1"/>
        <sz val="11.0"/>
      </rPr>
      <t>Select the proposed system type from the drop down list in Column C  - this will automatically populate the ‘Proposed Building Classification’ and ‘Baseline Systems’ (columns G, H, I &amp; J)</t>
    </r>
  </si>
  <si>
    <t>System Name in Model</t>
  </si>
  <si>
    <t>HOT WATER LOOP / PTAC</t>
  </si>
  <si>
    <t>PACKAGED ROOFTOP HEAT PUMP</t>
  </si>
  <si>
    <t>MECHANICAL EQUIPMENT SCHEDULES</t>
  </si>
  <si>
    <r>
      <rPr>
        <rFont val="Calibri"/>
        <color theme="1"/>
        <sz val="11.0"/>
      </rPr>
      <t>c.</t>
    </r>
    <r>
      <rPr>
        <rFont val="Times New Roman"/>
        <color theme="1"/>
        <sz val="7.0"/>
      </rPr>
      <t xml:space="preserve">       </t>
    </r>
    <r>
      <rPr>
        <rFont val="Calibri"/>
        <color theme="1"/>
        <sz val="11.0"/>
      </rPr>
      <t>Check the information in Columns G, H &amp; I – if the pre-populated information is not correct, select the correct information from the drop-down list in each column</t>
    </r>
  </si>
  <si>
    <t># of Similar Systems</t>
  </si>
  <si>
    <t xml:space="preserve">Total Cooling Capacity </t>
  </si>
  <si>
    <r>
      <rPr>
        <rFont val="Calibri"/>
        <color theme="1"/>
        <sz val="11.0"/>
      </rPr>
      <t>d.</t>
    </r>
    <r>
      <rPr>
        <rFont val="Times New Roman"/>
        <color theme="1"/>
        <sz val="7.0"/>
      </rPr>
      <t xml:space="preserve">       </t>
    </r>
    <r>
      <rPr>
        <rFont val="Calibri"/>
        <color theme="1"/>
        <sz val="11.0"/>
      </rPr>
      <t>Input the name of the HVAC system that corresponds with the M-dwgs into Column D</t>
    </r>
  </si>
  <si>
    <t>BTU / h</t>
  </si>
  <si>
    <t>BTU/h</t>
  </si>
  <si>
    <t>*Table 6.8.1 Unitary Cooling Capacity Range</t>
  </si>
  <si>
    <r>
      <rPr>
        <rFont val="Calibri"/>
        <color theme="1"/>
        <sz val="11.0"/>
      </rPr>
      <t>e.</t>
    </r>
    <r>
      <rPr>
        <rFont val="Times New Roman"/>
        <color theme="1"/>
        <sz val="7.0"/>
      </rPr>
      <t xml:space="preserve">       </t>
    </r>
    <r>
      <rPr>
        <rFont val="Calibri"/>
        <color theme="1"/>
        <sz val="11.0"/>
      </rPr>
      <t>Input the name of the HVAC system that corresponds to the Baseline system in the modeling reports into Column E</t>
    </r>
  </si>
  <si>
    <t xml:space="preserve"> </t>
  </si>
  <si>
    <t>*Unitary Cooling Eff.</t>
  </si>
  <si>
    <r>
      <rPr>
        <rFont val="Calibri"/>
        <color theme="1"/>
        <sz val="11.0"/>
      </rPr>
      <t>f.</t>
    </r>
    <r>
      <rPr>
        <rFont val="Times New Roman"/>
        <color theme="1"/>
        <sz val="7.0"/>
      </rPr>
      <t xml:space="preserve">        </t>
    </r>
    <r>
      <rPr>
        <rFont val="Calibri"/>
        <color theme="1"/>
        <sz val="11.0"/>
      </rPr>
      <t>Input the name of the HVAC system that corresponds to the Proposed system in the modeling reports into Column F</t>
    </r>
  </si>
  <si>
    <t>EER</t>
  </si>
  <si>
    <r>
      <rPr>
        <rFont val="Calibri"/>
        <color theme="1"/>
        <sz val="11.0"/>
      </rPr>
      <t>g.</t>
    </r>
    <r>
      <rPr>
        <rFont val="Times New Roman"/>
        <color theme="1"/>
        <sz val="7.0"/>
      </rPr>
      <t xml:space="preserve">       </t>
    </r>
    <r>
      <rPr>
        <rFont val="Calibri"/>
        <color theme="1"/>
        <sz val="11.0"/>
      </rPr>
      <t>Repeat steps b through f until all proposed systems are input. Leaving spaces between rows will cause an error.</t>
    </r>
  </si>
  <si>
    <t xml:space="preserve">*Unitary Cooling Part-load Eff. (if applicable) </t>
  </si>
  <si>
    <t>IEER</t>
  </si>
  <si>
    <t xml:space="preserve">Total Heating Capacity </t>
  </si>
  <si>
    <r>
      <rPr>
        <rFont val="Calibri"/>
        <color theme="1"/>
        <sz val="11.0"/>
      </rPr>
      <t>3.</t>
    </r>
    <r>
      <rPr>
        <rFont val="Times New Roman"/>
        <color theme="1"/>
        <sz val="7.0"/>
      </rPr>
      <t xml:space="preserve">       </t>
    </r>
    <r>
      <rPr>
        <rFont val="Calibri"/>
        <color theme="1"/>
        <sz val="11.0"/>
      </rPr>
      <t>Filling in System information (Appendix G)</t>
    </r>
  </si>
  <si>
    <t>*Table 6.8.1 Unitary Heating Capacity Range</t>
  </si>
  <si>
    <r>
      <rPr>
        <rFont val="Calibri"/>
        <color theme="1"/>
        <sz val="11.0"/>
      </rPr>
      <t>a.</t>
    </r>
    <r>
      <rPr>
        <rFont val="Times New Roman"/>
        <color theme="1"/>
        <sz val="7.0"/>
      </rPr>
      <t xml:space="preserve">       </t>
    </r>
    <r>
      <rPr>
        <rFont val="Calibri"/>
        <color theme="1"/>
        <sz val="11.0"/>
      </rPr>
      <t>The first proposed system must be input on Row 4.</t>
    </r>
  </si>
  <si>
    <t xml:space="preserve">*Unitary Heating Efficiency </t>
  </si>
  <si>
    <t>NA- boiler dependent</t>
  </si>
  <si>
    <t>NA</t>
  </si>
  <si>
    <r>
      <rPr>
        <rFont val="Calibri"/>
        <color theme="1"/>
        <sz val="11.0"/>
      </rPr>
      <t>b.</t>
    </r>
    <r>
      <rPr>
        <rFont val="Times New Roman"/>
        <color theme="1"/>
        <sz val="7.0"/>
      </rPr>
      <t xml:space="preserve">       </t>
    </r>
    <r>
      <rPr>
        <rFont val="Calibri"/>
        <color theme="1"/>
        <sz val="11.0"/>
      </rPr>
      <t>Select the Building Area Type in Column B associated with the proposed system.</t>
    </r>
  </si>
  <si>
    <t>COP</t>
  </si>
  <si>
    <t>*Fan Control</t>
  </si>
  <si>
    <t>Single- or two-speed fan</t>
  </si>
  <si>
    <t>Variable-speed fan</t>
  </si>
  <si>
    <r>
      <rPr>
        <rFont val="Calibri"/>
        <color theme="1"/>
        <sz val="11.0"/>
      </rPr>
      <t>c.</t>
    </r>
    <r>
      <rPr>
        <rFont val="Times New Roman"/>
        <color theme="1"/>
        <sz val="7.0"/>
      </rPr>
      <t xml:space="preserve">       </t>
    </r>
    <r>
      <rPr>
        <rFont val="Calibri"/>
        <color theme="1"/>
        <sz val="11.0"/>
      </rPr>
      <t>Select the proposed system type from the drop down list in Column C  - this will automatically populate the ‘Proposed Building Classification’ and ‘Baseline Systems’ (columns G, H, I &amp; J)</t>
    </r>
  </si>
  <si>
    <t>Supply Airflow</t>
  </si>
  <si>
    <t>cfm</t>
  </si>
  <si>
    <r>
      <rPr>
        <rFont val="Calibri"/>
        <color theme="1"/>
        <sz val="11.0"/>
      </rPr>
      <t>d.</t>
    </r>
    <r>
      <rPr>
        <rFont val="Times New Roman"/>
        <color theme="1"/>
        <sz val="7.0"/>
      </rPr>
      <t xml:space="preserve">       </t>
    </r>
    <r>
      <rPr>
        <rFont val="Calibri"/>
        <color theme="1"/>
        <sz val="11.0"/>
      </rPr>
      <t>Check the information in Columns G, H &amp; I – if the pre-populated information is not correct, select the correct information from the drop-down list in each column</t>
    </r>
  </si>
  <si>
    <r>
      <rPr>
        <rFont val="Calibri"/>
        <color theme="1"/>
        <sz val="11.0"/>
      </rPr>
      <t>e.</t>
    </r>
    <r>
      <rPr>
        <rFont val="Times New Roman"/>
        <color theme="1"/>
        <sz val="7.0"/>
      </rPr>
      <t xml:space="preserve">       </t>
    </r>
    <r>
      <rPr>
        <rFont val="Calibri"/>
        <color theme="1"/>
        <sz val="11.0"/>
      </rPr>
      <t>Input the name of the HVAC system that corresponds with the M-dwgs into Column D</t>
    </r>
  </si>
  <si>
    <t>*Demand Control Ventilation</t>
  </si>
  <si>
    <t>Non-Residential</t>
  </si>
  <si>
    <t xml:space="preserve">Yes </t>
  </si>
  <si>
    <r>
      <rPr>
        <rFont val="Calibri"/>
        <color theme="1"/>
        <sz val="11.0"/>
      </rPr>
      <t>f.</t>
    </r>
    <r>
      <rPr>
        <rFont val="Times New Roman"/>
        <color theme="1"/>
        <sz val="7.0"/>
      </rPr>
      <t xml:space="preserve">        </t>
    </r>
    <r>
      <rPr>
        <rFont val="Calibri"/>
        <color theme="1"/>
        <sz val="11.0"/>
      </rPr>
      <t>Input the name of the HVAC system that corresponds to the Baseline system in the modeling reports into Column E</t>
    </r>
  </si>
  <si>
    <t>Regulated</t>
  </si>
  <si>
    <t xml:space="preserve">No </t>
  </si>
  <si>
    <t>Unregulated</t>
  </si>
  <si>
    <t>New Building w/ Existing Elements ("Big Alt")</t>
  </si>
  <si>
    <t>Economizer provided?</t>
  </si>
  <si>
    <t>N/A</t>
  </si>
  <si>
    <t>Addition</t>
  </si>
  <si>
    <r>
      <rPr>
        <rFont val="Calibri"/>
        <color theme="1"/>
        <sz val="11.0"/>
      </rPr>
      <t>g.</t>
    </r>
    <r>
      <rPr>
        <rFont val="Times New Roman"/>
        <color theme="1"/>
        <sz val="7.0"/>
      </rPr>
      <t xml:space="preserve">       </t>
    </r>
    <r>
      <rPr>
        <rFont val="Calibri"/>
        <color theme="1"/>
        <sz val="11.0"/>
      </rPr>
      <t>Input the name of the HVAC system that corresponds to the Proposed system in the modeling reports into Column F</t>
    </r>
  </si>
  <si>
    <t>Alteration</t>
  </si>
  <si>
    <t>Section 11 ECB</t>
  </si>
  <si>
    <t>kBTU/h</t>
  </si>
  <si>
    <t>Nonmetal framing (all)</t>
  </si>
  <si>
    <t>U-0.28</t>
  </si>
  <si>
    <t>*Economizer High-Limit Shutoff (°F)</t>
  </si>
  <si>
    <t>U-0.51</t>
  </si>
  <si>
    <t>U-0.57</t>
  </si>
  <si>
    <t>U-1.22</t>
  </si>
  <si>
    <t>Addition + Alteration</t>
  </si>
  <si>
    <t>SL</t>
  </si>
  <si>
    <t>SEER</t>
  </si>
  <si>
    <t>Ec</t>
  </si>
  <si>
    <t>U-0.30</t>
  </si>
  <si>
    <t>U-0.73</t>
  </si>
  <si>
    <r>
      <rPr>
        <rFont val="Calibri"/>
        <color theme="1"/>
        <sz val="11.0"/>
      </rPr>
      <t>h.</t>
    </r>
    <r>
      <rPr>
        <rFont val="Times New Roman"/>
        <color theme="1"/>
        <sz val="7.0"/>
      </rPr>
      <t xml:space="preserve">       </t>
    </r>
    <r>
      <rPr>
        <rFont val="Calibri"/>
        <color theme="1"/>
        <sz val="11.0"/>
      </rPr>
      <t>Repeat steps b through f until all proposed systems are input. Leaving spaces between rows will cause an error.</t>
    </r>
  </si>
  <si>
    <r>
      <rPr>
        <rFont val="Calibri"/>
        <color theme="1"/>
      </rPr>
      <t>E</t>
    </r>
    <r>
      <rPr>
        <rFont val="Calibri"/>
        <color theme="1"/>
        <sz val="11.0"/>
        <vertAlign val="subscript"/>
      </rPr>
      <t>t</t>
    </r>
  </si>
  <si>
    <t>tons</t>
  </si>
  <si>
    <t>AFUE</t>
  </si>
  <si>
    <t>Metal framing (fixed), 95ft and above</t>
  </si>
  <si>
    <t>U-0.36</t>
  </si>
  <si>
    <t>U-0.70</t>
  </si>
  <si>
    <t>Exhaust Air Energy Recovery System Provided?</t>
  </si>
  <si>
    <t>Metal framing (operable), below 95ft</t>
  </si>
  <si>
    <t>U-0.40</t>
  </si>
  <si>
    <t>U-0.81</t>
  </si>
  <si>
    <t>HSPF</t>
  </si>
  <si>
    <t>Metal framing (operable), 95ft and above</t>
  </si>
  <si>
    <t>U-0.42</t>
  </si>
  <si>
    <t>Baseline System</t>
  </si>
  <si>
    <t xml:space="preserve">Minimum Efficiencies </t>
  </si>
  <si>
    <r>
      <rPr>
        <rFont val="Calibri"/>
        <color theme="1"/>
        <sz val="11.0"/>
      </rPr>
      <t>4.</t>
    </r>
    <r>
      <rPr>
        <rFont val="Times New Roman"/>
        <color theme="1"/>
        <sz val="7.0"/>
      </rPr>
      <t xml:space="preserve">       </t>
    </r>
    <r>
      <rPr>
        <rFont val="Calibri"/>
        <color theme="1"/>
        <sz val="11.0"/>
      </rPr>
      <t>Creating HVAC Air-Side Tabs</t>
    </r>
  </si>
  <si>
    <t>Fan Power</t>
  </si>
  <si>
    <t>Curtainwall fixed</t>
  </si>
  <si>
    <t>*Exhaust Air Energy Recovery Effectiveness</t>
  </si>
  <si>
    <t>Metal framing (entrance door)</t>
  </si>
  <si>
    <t>U-0.77</t>
  </si>
  <si>
    <t>U-0.68</t>
  </si>
  <si>
    <t>Cost</t>
  </si>
  <si>
    <t>Source</t>
  </si>
  <si>
    <r>
      <rPr>
        <rFont val="Calibri"/>
        <color theme="1"/>
        <sz val="11.0"/>
      </rPr>
      <t>a.</t>
    </r>
    <r>
      <rPr>
        <rFont val="Times New Roman"/>
        <color theme="1"/>
        <sz val="7.0"/>
      </rPr>
      <t xml:space="preserve">       </t>
    </r>
    <r>
      <rPr>
        <rFont val="Calibri"/>
        <color theme="1"/>
        <sz val="11.0"/>
      </rPr>
      <t>After all of the proposed systems are entered correctly into Rows 4 through 13, click on the ‘Create New HVAC’ button.</t>
    </r>
  </si>
  <si>
    <t xml:space="preserve">Fan Brake Horsepower </t>
  </si>
  <si>
    <t>NR</t>
  </si>
  <si>
    <t>hp</t>
  </si>
  <si>
    <t>Healthcare/hospital</t>
  </si>
  <si>
    <t xml:space="preserve">Fan Motor Efficiency </t>
  </si>
  <si>
    <r>
      <rPr>
        <rFont val="Calibri"/>
        <color theme="1"/>
        <sz val="11.0"/>
      </rPr>
      <t>b.</t>
    </r>
    <r>
      <rPr>
        <rFont val="Times New Roman"/>
        <color theme="1"/>
        <sz val="7.0"/>
      </rPr>
      <t xml:space="preserve">       </t>
    </r>
    <r>
      <rPr>
        <rFont val="Calibri"/>
        <color theme="1"/>
        <sz val="11.0"/>
      </rPr>
      <t>After the prompt “Are you done filling in system types?” Click Yes.</t>
    </r>
  </si>
  <si>
    <t>%</t>
  </si>
  <si>
    <t>Supply Fan Power</t>
  </si>
  <si>
    <r>
      <rPr>
        <rFont val="Calibri"/>
        <color theme="1"/>
        <sz val="11.0"/>
      </rPr>
      <t>c.</t>
    </r>
    <r>
      <rPr>
        <rFont val="Times New Roman"/>
        <color theme="1"/>
        <sz val="7.0"/>
      </rPr>
      <t>   </t>
    </r>
    <r>
      <rPr>
        <rFont val="Calibri"/>
        <color theme="1"/>
        <sz val="12.0"/>
      </rPr>
      <t> The tab 'HVAC Air-Side' will be filled out with information from Row 5. New HVAC Air-side tabs will be created and filled out.    </t>
    </r>
  </si>
  <si>
    <t xml:space="preserve">Return Fan Power </t>
  </si>
  <si>
    <t>Skylights</t>
  </si>
  <si>
    <t>0% - 3.0%</t>
  </si>
  <si>
    <t>5.  Adding new systems to HVAC_Cover Tab after running the Macro (Steps 1-4 above)</t>
  </si>
  <si>
    <t>U-0.48</t>
  </si>
  <si>
    <t>U-1.15</t>
  </si>
  <si>
    <t>0% - 2.0%</t>
  </si>
  <si>
    <t>U-0.69</t>
  </si>
  <si>
    <t>U-0.58</t>
  </si>
  <si>
    <t>U-1.36</t>
  </si>
  <si>
    <t>Weighted Average</t>
  </si>
  <si>
    <t>Exhaust Fan Power</t>
  </si>
  <si>
    <t>3.0%+</t>
  </si>
  <si>
    <t>2.1%+</t>
  </si>
  <si>
    <t>System Count</t>
  </si>
  <si>
    <t>a.   Once the button "Create New HVAC" is pressed, it will generate an "HVAC Air-side" tab for each individual system</t>
  </si>
  <si>
    <t>Relief Fan Power</t>
  </si>
  <si>
    <t>Grocery Store</t>
  </si>
  <si>
    <t>Healthcare (hospital)</t>
  </si>
  <si>
    <t>Hospital</t>
  </si>
  <si>
    <t>U-0.030</t>
  </si>
  <si>
    <t>U-0.093</t>
  </si>
  <si>
    <t>b.   If a new HVAC system must be added to HVAC_Cover, after the "Create New HVAC" button is pressed, it will create ALL of the HVAC systems again</t>
  </si>
  <si>
    <t>U-0.063</t>
  </si>
  <si>
    <t>U-0.218</t>
  </si>
  <si>
    <r>
      <rPr>
        <rFont val="Calibri"/>
        <color theme="1"/>
      </rPr>
      <t>Hotel/motel (</t>
    </r>
    <r>
      <rPr>
        <rFont val="Calibri"/>
        <color theme="1"/>
        <sz val="11.0"/>
        <u/>
      </rPr>
      <t>&lt;</t>
    </r>
    <r>
      <rPr>
        <rFont val="Calibri"/>
        <color theme="1"/>
        <sz val="11.0"/>
      </rPr>
      <t xml:space="preserve"> 75 rooms)</t>
    </r>
  </si>
  <si>
    <t>Metal Building</t>
  </si>
  <si>
    <t>U-0.035</t>
  </si>
  <si>
    <t>U-0.082</t>
  </si>
  <si>
    <t>ERROR</t>
  </si>
  <si>
    <t>Hotel/motel (&gt; 75 rooms)</t>
  </si>
  <si>
    <t>Attic and Other</t>
  </si>
  <si>
    <t>U-0.020</t>
  </si>
  <si>
    <t>U-0.034</t>
  </si>
  <si>
    <r>
      <rPr>
        <rFont val="Calibri"/>
        <color theme="1"/>
      </rPr>
      <t>Office (</t>
    </r>
    <r>
      <rPr>
        <rFont val="Calibri"/>
        <color theme="1"/>
        <sz val="11.0"/>
        <u/>
      </rPr>
      <t>&lt;</t>
    </r>
    <r>
      <rPr>
        <rFont val="Calibri"/>
        <color theme="1"/>
        <sz val="11.0"/>
      </rPr>
      <t xml:space="preserve"> 5000 ft</t>
    </r>
    <r>
      <rPr>
        <rFont val="Calibri"/>
        <color theme="1"/>
        <sz val="11.0"/>
        <vertAlign val="superscript"/>
      </rPr>
      <t>2</t>
    </r>
    <r>
      <rPr>
        <rFont val="Calibri"/>
        <color theme="1"/>
        <sz val="11.0"/>
      </rPr>
      <t>)</t>
    </r>
  </si>
  <si>
    <t>Mass</t>
  </si>
  <si>
    <t>U-0.099</t>
  </si>
  <si>
    <t>U-0.086</t>
  </si>
  <si>
    <t>U-0.580</t>
  </si>
  <si>
    <r>
      <rPr>
        <rFont val="Calibri"/>
        <color theme="1"/>
      </rPr>
      <t>Office (&gt; 50,000 ft</t>
    </r>
    <r>
      <rPr>
        <rFont val="Calibri"/>
        <color theme="1"/>
        <sz val="11.0"/>
        <vertAlign val="superscript"/>
      </rPr>
      <t>2</t>
    </r>
    <r>
      <rPr>
        <rFont val="Calibri"/>
        <color theme="1"/>
        <sz val="11.0"/>
      </rPr>
      <t>)</t>
    </r>
  </si>
  <si>
    <t xml:space="preserve">c.   For example, initially HVAC systems 1 through 4 were list on HVAC_Cover and generated new tabs HVAC Air-side 1, 2, 3, and 4. If you now need to add an HVAC system 5 to </t>
  </si>
  <si>
    <t>U-0.048</t>
  </si>
  <si>
    <t>EIR</t>
  </si>
  <si>
    <t>U-0.162</t>
  </si>
  <si>
    <r>
      <rPr>
        <rFont val="Calibri"/>
        <color theme="1"/>
      </rPr>
      <t>Office (5000 - 50,000 ft</t>
    </r>
    <r>
      <rPr>
        <rFont val="Calibri"/>
        <color theme="1"/>
        <sz val="11.0"/>
        <vertAlign val="superscript"/>
      </rPr>
      <t>2</t>
    </r>
    <r>
      <rPr>
        <rFont val="Calibri"/>
        <color theme="1"/>
        <sz val="11.0"/>
      </rPr>
      <t>)</t>
    </r>
  </si>
  <si>
    <t>U-0.061</t>
  </si>
  <si>
    <t>U-0.124</t>
  </si>
  <si>
    <t>U-0.064</t>
  </si>
  <si>
    <t>Wood-Framed and Other</t>
  </si>
  <si>
    <t>U-0.089</t>
  </si>
  <si>
    <t>Restaurant (full service)</t>
  </si>
  <si>
    <t>Restaurant (quick service)</t>
  </si>
  <si>
    <t>C-0.119</t>
  </si>
  <si>
    <t>C-0.092</t>
  </si>
  <si>
    <t>C-1.140</t>
  </si>
  <si>
    <t xml:space="preserve">HVAC_Cover, the program will generate HVAC Air-side 1, 2, 3, 4 and 5, and you will have duplicates of the initially generated HVAC 1, 2, 3, and 4.  One of each of the </t>
  </si>
  <si>
    <t>Retail ( strip mall)</t>
  </si>
  <si>
    <t>Retail (Stand alone)</t>
  </si>
  <si>
    <t>U-0.057</t>
  </si>
  <si>
    <t>U-0.051</t>
  </si>
  <si>
    <t>U-0.107</t>
  </si>
  <si>
    <t>School (primary)</t>
  </si>
  <si>
    <t>Steel-Joist</t>
  </si>
  <si>
    <t>U-0.033</t>
  </si>
  <si>
    <t>U-0.052</t>
  </si>
  <si>
    <t>HIR</t>
  </si>
  <si>
    <t>U-0.038</t>
  </si>
  <si>
    <t>U-0.069</t>
  </si>
  <si>
    <t>School (secondary and university)</t>
  </si>
  <si>
    <t>d.  To manually delete a tab, right click on the tab name, select 'Delete'. This will need to be performed for each of the duplicate air-side tabs.</t>
  </si>
  <si>
    <t>Warehouse (nonrefrigerated)</t>
  </si>
  <si>
    <t>F-0.520</t>
  </si>
  <si>
    <t>F-0.730</t>
  </si>
  <si>
    <t>F-0.7300</t>
  </si>
  <si>
    <t>Heated</t>
  </si>
  <si>
    <t>F-0.63</t>
  </si>
  <si>
    <t>F-0.900</t>
  </si>
  <si>
    <r>
      <rPr>
        <rFont val="Calibri"/>
        <color theme="1"/>
        <sz val="11.0"/>
      </rPr>
      <t xml:space="preserve">e.   </t>
    </r>
    <r>
      <rPr>
        <rFont val="Calibri"/>
        <b/>
        <color rgb="FFFF0000"/>
        <sz val="11.0"/>
      </rPr>
      <t xml:space="preserve">DO NOT DELETE the tab titled "HVAC Air-Side" </t>
    </r>
    <r>
      <rPr>
        <rFont val="Calibri"/>
        <color theme="1"/>
        <sz val="11.0"/>
      </rPr>
      <t>(located to the right of "HVAC_Cover")</t>
    </r>
    <r>
      <rPr>
        <rFont val="Calibri"/>
        <color theme="1"/>
        <sz val="11.0"/>
      </rPr>
      <t xml:space="preserve"> - this will cause the Macro to crash and you will have to start over.</t>
    </r>
  </si>
  <si>
    <t>% OA</t>
  </si>
  <si>
    <t>U-0.370</t>
  </si>
  <si>
    <t>U-0.700</t>
  </si>
  <si>
    <t>Nonswinging</t>
  </si>
  <si>
    <t>U-0.310</t>
  </si>
  <si>
    <t>U-0.360</t>
  </si>
  <si>
    <t>U-1.450</t>
  </si>
  <si>
    <t>U-0.500</t>
  </si>
  <si>
    <t>Shivanie</t>
  </si>
  <si>
    <t>System 1: VAV with PFP boxes</t>
  </si>
  <si>
    <t>VAV</t>
  </si>
  <si>
    <t>System 10: PTAC</t>
  </si>
  <si>
    <t>Single-speed fan</t>
  </si>
  <si>
    <t xml:space="preserve">S11 system </t>
  </si>
  <si>
    <t>System 11: Packaged rooftop AC</t>
  </si>
  <si>
    <t>Water/ Ground</t>
  </si>
  <si>
    <t>Electric Res.</t>
  </si>
  <si>
    <t>Single Zone Residential System</t>
  </si>
  <si>
    <t>System 2: VAV with reheat</t>
  </si>
  <si>
    <t>Air/ None</t>
  </si>
  <si>
    <t xml:space="preserve">Heat Pump </t>
  </si>
  <si>
    <t>Single Zone Non-Residential System</t>
  </si>
  <si>
    <t>System 3: Packaged VAV with PFP boxes</t>
  </si>
  <si>
    <t xml:space="preserve">Fossil Fuel </t>
  </si>
  <si>
    <t>6. Additional Important Information</t>
  </si>
  <si>
    <t>System 4: Packaged VAV with reheat</t>
  </si>
  <si>
    <t>System 5: Two-pipe fan-coil</t>
  </si>
  <si>
    <t>G3.1.1-4</t>
  </si>
  <si>
    <t>Other (describe)</t>
  </si>
  <si>
    <t xml:space="preserve">Sizes </t>
  </si>
  <si>
    <t>System 6: Water-source HP</t>
  </si>
  <si>
    <t>obsolete w new cover</t>
  </si>
  <si>
    <t xml:space="preserve">System No. </t>
  </si>
  <si>
    <t>System Type</t>
  </si>
  <si>
    <t>Fan Control</t>
  </si>
  <si>
    <t>Cooling Type</t>
  </si>
  <si>
    <t>Heating Type</t>
  </si>
  <si>
    <t>Fan Power G3.1.2.9 [W]</t>
  </si>
  <si>
    <t>a.   To rename an HVAC Air-Side generated tab, right click on the tab name, select 'Rename', and type in the new name.</t>
  </si>
  <si>
    <t>&lt;17,000</t>
  </si>
  <si>
    <t>System 7: Four-pipe fan-coil</t>
  </si>
  <si>
    <t>Combo</t>
  </si>
  <si>
    <t>System</t>
  </si>
  <si>
    <t>System 1: PTAC</t>
  </si>
  <si>
    <t>Packaged terminal air conditioner</t>
  </si>
  <si>
    <t>Constant volume</t>
  </si>
  <si>
    <t>Direct expansion</t>
  </si>
  <si>
    <t>Hot-water fossil fuel boiler</t>
  </si>
  <si>
    <t>Cool: 3.2 COP -- Heat: Boiler</t>
  </si>
  <si>
    <t xml:space="preserve">Supply CFM * .3 </t>
  </si>
  <si>
    <t>&gt;=17,000 and &lt;65,000</t>
  </si>
  <si>
    <t>System 8: PTHP</t>
  </si>
  <si>
    <t>Air/ NoneElectric Res.Other</t>
  </si>
  <si>
    <t xml:space="preserve">System 10 </t>
  </si>
  <si>
    <t>System 12: Single-zone, CV-HW</t>
  </si>
  <si>
    <t>Single-zone system</t>
  </si>
  <si>
    <t>Chilled water</t>
  </si>
  <si>
    <t>Cool: Chiller -- Heat: Boiler</t>
  </si>
  <si>
    <t>bhp * 746 / fan motor efficiency</t>
  </si>
  <si>
    <t>&gt;=65,000 and &lt;135,000</t>
  </si>
  <si>
    <t>System 9: Packaged rooftop HP</t>
  </si>
  <si>
    <t>Air/ NoneElectric Res.Single Zone Non-Residential System</t>
  </si>
  <si>
    <t>System 8</t>
  </si>
  <si>
    <t>System 3: PSZ-AC</t>
  </si>
  <si>
    <t>Packaged rooftop air conditioner</t>
  </si>
  <si>
    <r>
      <rPr>
        <rFont val="Calibri"/>
        <color theme="1"/>
        <sz val="11.0"/>
      </rPr>
      <t xml:space="preserve">b.   </t>
    </r>
    <r>
      <rPr>
        <rFont val="Calibri"/>
        <b/>
        <color rgb="FFFF0000"/>
        <sz val="11.0"/>
      </rPr>
      <t>DO NOT RENAME the tab titled "HVAC Air-Side"</t>
    </r>
    <r>
      <rPr>
        <rFont val="Calibri"/>
        <color theme="1"/>
        <sz val="11.0"/>
      </rPr>
      <t xml:space="preserve"> (located to the right of "HVAC_Cover") - this will cause the Macro to crash and you may have to start over .</t>
    </r>
  </si>
  <si>
    <t>Fossil fuel furnace</t>
  </si>
  <si>
    <t>Cool: Table G3.5.1 -- Heat: Table G3.5.5</t>
  </si>
  <si>
    <t>&gt;=135,000 and &lt;240,000</t>
  </si>
  <si>
    <t>Air/ NoneElectric Res.Single Zone Residential System</t>
  </si>
  <si>
    <t>System 5: Packaged VAV with Reheat</t>
  </si>
  <si>
    <t>Packaged rooftop VAV with reheat</t>
  </si>
  <si>
    <t>Cool: Table G3.5.1 -- Heat: boiler</t>
  </si>
  <si>
    <t>&gt;= 240,000 and &lt;760,000</t>
  </si>
  <si>
    <t>Air/ NoneFossil Fuel Other</t>
  </si>
  <si>
    <t>System 4</t>
  </si>
  <si>
    <t>System 7: VAV with reheat</t>
  </si>
  <si>
    <t>VAV with reheat</t>
  </si>
  <si>
    <t>&gt;=760,000</t>
  </si>
  <si>
    <t>Air/ NoneFossil Fuel Single Zone Non-Residential System</t>
  </si>
  <si>
    <t>System 3</t>
  </si>
  <si>
    <t>System 9: Heating and Ventilation</t>
  </si>
  <si>
    <t>Warm air furnace, gas fired</t>
  </si>
  <si>
    <t>None</t>
  </si>
  <si>
    <t>Cool: none -- Heat: G3.5.5</t>
  </si>
  <si>
    <t>Supply CFM x .3, if  non mechanical cooling fan req: CFMnmc * .054</t>
  </si>
  <si>
    <t>Air/ NoneFossil Fuel Single Zone Residential System</t>
  </si>
  <si>
    <t>Air/ NoneHeat Pump Other</t>
  </si>
  <si>
    <t>System 11</t>
  </si>
  <si>
    <r>
      <rPr>
        <rFont val="Calibri"/>
        <color theme="1"/>
        <sz val="11.0"/>
      </rPr>
      <t xml:space="preserve">c.    </t>
    </r>
    <r>
      <rPr>
        <rFont val="Calibri"/>
        <b/>
        <color rgb="FFFF0000"/>
        <sz val="11.0"/>
      </rPr>
      <t>DO NOT RENAME the tab titled "HVAC_Cover"</t>
    </r>
    <r>
      <rPr>
        <rFont val="Calibri"/>
        <color theme="1"/>
        <sz val="11.0"/>
      </rPr>
      <t xml:space="preserve"> - this will cause the Macro to crash and you may have to start over.</t>
    </r>
  </si>
  <si>
    <t>Air/ NoneHeat Pump Single Zone Non-Residential System</t>
  </si>
  <si>
    <t xml:space="preserve">System 9 </t>
  </si>
  <si>
    <t>Air/ NoneHeat Pump Single Zone Residential System</t>
  </si>
  <si>
    <t xml:space="preserve">App. G </t>
  </si>
  <si>
    <t>Water/ GroundElectric Res.Other</t>
  </si>
  <si>
    <t>System 7</t>
  </si>
  <si>
    <t>Heated-only storage</t>
  </si>
  <si>
    <t>Constant Volume</t>
  </si>
  <si>
    <t>Water/ GroundElectric Res.Single Zone Non-Residential System</t>
  </si>
  <si>
    <t>System 6</t>
  </si>
  <si>
    <t>Section 11</t>
  </si>
  <si>
    <r>
      <rPr>
        <rFont val="Calibri"/>
        <color theme="1"/>
      </rPr>
      <t xml:space="preserve">Nonresidential - </t>
    </r>
    <r>
      <rPr>
        <rFont val="Calibri"/>
        <color theme="1"/>
        <sz val="11.0"/>
        <u/>
      </rPr>
      <t>&lt;</t>
    </r>
    <r>
      <rPr>
        <rFont val="Calibri"/>
        <color theme="1"/>
        <sz val="11.0"/>
      </rPr>
      <t xml:space="preserve"> 3 floors and &lt; 25,000 ft2</t>
    </r>
  </si>
  <si>
    <t>Water/ GroundElectric Res.Single Zone Residential System</t>
  </si>
  <si>
    <t>System 5</t>
  </si>
  <si>
    <t>Proposed</t>
  </si>
  <si>
    <t>Baseline Section 11</t>
  </si>
  <si>
    <t>Fan Power s.11</t>
  </si>
  <si>
    <t>Cooler Condensing Source</t>
  </si>
  <si>
    <t>Budget System Type</t>
  </si>
  <si>
    <t>Heating System Classification</t>
  </si>
  <si>
    <t>Efficiencies</t>
  </si>
  <si>
    <t>Master Value List</t>
  </si>
  <si>
    <r>
      <rPr>
        <rFont val="Calibri"/>
        <color theme="1"/>
      </rPr>
      <t xml:space="preserve">Nonresidential - </t>
    </r>
    <r>
      <rPr>
        <rFont val="Calibri"/>
        <color theme="1"/>
        <sz val="11.0"/>
        <u/>
      </rPr>
      <t>&lt;</t>
    </r>
    <r>
      <rPr>
        <rFont val="Calibri"/>
        <color theme="1"/>
        <sz val="11.0"/>
      </rPr>
      <t xml:space="preserve"> 5 floors and 25,000 - 150,000 ft2</t>
    </r>
  </si>
  <si>
    <t>Water/ GroundFossil Fuel Other</t>
  </si>
  <si>
    <t>System 2</t>
  </si>
  <si>
    <t>Two-pipe fan coil</t>
  </si>
  <si>
    <t xml:space="preserve">Refer to 6.5.3.1 </t>
  </si>
  <si>
    <t>Water/Ground</t>
  </si>
  <si>
    <t xml:space="preserve">Electric Resistance </t>
  </si>
  <si>
    <t xml:space="preserve">Cool: Chiller -- Heat: Electric Resistance </t>
  </si>
  <si>
    <t>Nonresidential - &gt; 5 floors or &gt; 150,000 ft2</t>
  </si>
  <si>
    <t>Water/ GroundFossil Fuel Single Zone Non-Residential System</t>
  </si>
  <si>
    <t>VAV with parallel fan-powered boxes</t>
  </si>
  <si>
    <t>KEY</t>
  </si>
  <si>
    <t>Variable #1</t>
  </si>
  <si>
    <t>Variable #2</t>
  </si>
  <si>
    <t>Variable #3</t>
  </si>
  <si>
    <t>Fan Airflow</t>
  </si>
  <si>
    <t>Nonresidential - 4-5 floors and &lt; 25,000 ft2</t>
  </si>
  <si>
    <t>Water/ GroundFossil Fuel Single Zone Residential System</t>
  </si>
  <si>
    <t>System 1</t>
  </si>
  <si>
    <t xml:space="preserve">Water-source heat pump </t>
  </si>
  <si>
    <t>Heat Pump</t>
  </si>
  <si>
    <t>Refer to Table 6.8.1-2 [Water to Air] (automated)</t>
  </si>
  <si>
    <t>Public Assembly &lt; 120,000 ft2</t>
  </si>
  <si>
    <t>Water/ GroundHeat Pump Other</t>
  </si>
  <si>
    <t xml:space="preserve">Four-pipe fan coil </t>
  </si>
  <si>
    <t xml:space="preserve">Single-Zone Non-Residential </t>
  </si>
  <si>
    <r>
      <rPr>
        <rFont val="Calibri"/>
        <color theme="1"/>
      </rPr>
      <t xml:space="preserve">Public Assembly </t>
    </r>
    <r>
      <rPr>
        <rFont val="Calibri"/>
        <color theme="1"/>
        <sz val="11.0"/>
        <u/>
      </rPr>
      <t>&gt;</t>
    </r>
    <r>
      <rPr>
        <rFont val="Calibri"/>
        <color theme="1"/>
        <sz val="11.0"/>
      </rPr>
      <t xml:space="preserve"> 120,000 ft2</t>
    </r>
  </si>
  <si>
    <t>Water/ GroundHeat Pump Single Zone Non-Residential System</t>
  </si>
  <si>
    <t>Water/ GroundHeat Pump Single Zone Residential System</t>
  </si>
  <si>
    <t xml:space="preserve">Packaged terminal heat pump 
</t>
  </si>
  <si>
    <t>Refer to Table 6.8.1-4 (automated)</t>
  </si>
  <si>
    <r>
      <rPr>
        <rFont val="Calibri"/>
        <color theme="1"/>
      </rPr>
      <t xml:space="preserve">Retail - </t>
    </r>
    <r>
      <rPr>
        <rFont val="Calibri"/>
        <color theme="1"/>
        <sz val="11.0"/>
        <u/>
      </rPr>
      <t>&lt;</t>
    </r>
    <r>
      <rPr>
        <rFont val="Calibri"/>
        <color theme="1"/>
        <sz val="11.0"/>
      </rPr>
      <t xml:space="preserve"> 2 floors</t>
    </r>
  </si>
  <si>
    <t xml:space="preserve">Refer to Table 6.8.1-2 </t>
  </si>
  <si>
    <t>Packaged VAV with parallel fan-powered boxes</t>
  </si>
  <si>
    <t xml:space="preserve">Cool: Table 6.8.1-1 -- Heat: Electric Resistance </t>
  </si>
  <si>
    <t xml:space="preserve">Packaged terminal air conditioner
</t>
  </si>
  <si>
    <t>Packaged/split-system air conditioner</t>
  </si>
  <si>
    <t xml:space="preserve">Cool: Table 6.8.1-1  -- Heat: Table 6.8.1-5 </t>
  </si>
  <si>
    <t>Electric Heat Pump and boiler</t>
  </si>
  <si>
    <t xml:space="preserve">Packaged VAV with reheat </t>
  </si>
  <si>
    <t>Cool: Table 6.8.1-1 -- Heat: Boiler</t>
  </si>
  <si>
    <t xml:space="preserve">VRF  </t>
  </si>
  <si>
    <t xml:space="preserve">Unit heaters </t>
  </si>
  <si>
    <t xml:space="preserve">Electric Heat Pump  </t>
  </si>
  <si>
    <t>Electric Heat Pump</t>
  </si>
  <si>
    <t>All Others</t>
  </si>
  <si>
    <t>Gas Storage Water Heater</t>
  </si>
  <si>
    <t>Automotive facility</t>
  </si>
  <si>
    <t>Convenience Store</t>
  </si>
  <si>
    <t>Electric Resistance Storage Water Heater</t>
  </si>
  <si>
    <t>6j</t>
  </si>
  <si>
    <t>Water-Side HVAC - Chilled Water</t>
  </si>
  <si>
    <t>Fossil Fuel Furnace</t>
  </si>
  <si>
    <t>Convention center</t>
  </si>
  <si>
    <t>Courthouse</t>
  </si>
  <si>
    <t>Dining: bar lounge/leisure</t>
  </si>
  <si>
    <t>Dining: cafeteria/fast food</t>
  </si>
  <si>
    <t>System Designation(s)</t>
  </si>
  <si>
    <t>Dining: family</t>
  </si>
  <si>
    <t>Exercise center</t>
  </si>
  <si>
    <t># and Type of Chillers (and capacity of chiller if more than 1 type or size)</t>
  </si>
  <si>
    <t>Fire station</t>
  </si>
  <si>
    <t>Gymnasium</t>
  </si>
  <si>
    <t>Health-care clinic</t>
  </si>
  <si>
    <t>Total Chiller Capacity</t>
  </si>
  <si>
    <t>Hospital and outpatient surgery center</t>
  </si>
  <si>
    <t>Hotel/Motel</t>
  </si>
  <si>
    <t>Library</t>
  </si>
  <si>
    <t>Chiller Efficiency - Full Load</t>
  </si>
  <si>
    <t>Manufacturing facility</t>
  </si>
  <si>
    <t>Motion picture theater</t>
  </si>
  <si>
    <t>Chiller Efficiency - Part Load</t>
  </si>
  <si>
    <t>Museum</t>
  </si>
  <si>
    <t>Chilled Water (CHW) Supply Temp</t>
  </si>
  <si>
    <t>Parking garage</t>
  </si>
  <si>
    <t>Penitentiary</t>
  </si>
  <si>
    <t>Performing arts theater</t>
  </si>
  <si>
    <t>Police station</t>
  </si>
  <si>
    <t>Post office</t>
  </si>
  <si>
    <t>CHW ΔT</t>
  </si>
  <si>
    <t>Religious facility</t>
  </si>
  <si>
    <t>School/university</t>
  </si>
  <si>
    <t>Sports arena</t>
  </si>
  <si>
    <t>Town hall</t>
  </si>
  <si>
    <t>CHW Supply Temp Reset Parameters</t>
  </si>
  <si>
    <t>Transportation</t>
  </si>
  <si>
    <t>Workshop</t>
  </si>
  <si>
    <t>Local Law 97</t>
  </si>
  <si>
    <t>CHW Loop Configuration</t>
  </si>
  <si>
    <t>Occupancy Classification</t>
  </si>
  <si>
    <t>CO2 limit/sf</t>
  </si>
  <si>
    <t>Group A</t>
  </si>
  <si>
    <t>Number of Primary CHW Pumps</t>
  </si>
  <si>
    <t>Fuel Use</t>
  </si>
  <si>
    <t>tCO2e per kbtu</t>
  </si>
  <si>
    <t>Group B</t>
  </si>
  <si>
    <t>Electricity</t>
  </si>
  <si>
    <t>Group E &amp; I-4</t>
  </si>
  <si>
    <t>Primary CHW Pump Power</t>
  </si>
  <si>
    <t>Group I-1</t>
  </si>
  <si>
    <t>Group F</t>
  </si>
  <si>
    <t>Group B, H, I-2 and I-3</t>
  </si>
  <si>
    <t>Primary CHW Pump Flow</t>
  </si>
  <si>
    <t>gpm</t>
  </si>
  <si>
    <t>Group M</t>
  </si>
  <si>
    <t>Group R-1</t>
  </si>
  <si>
    <t>Group R-2</t>
  </si>
  <si>
    <t>Primary CHW Pump Control</t>
  </si>
  <si>
    <t>Group S and U</t>
  </si>
  <si>
    <t>Number of Secondary CHW Pumps</t>
  </si>
  <si>
    <t>Secondary CHW Pump Power</t>
  </si>
  <si>
    <t>6k</t>
  </si>
  <si>
    <t>Water-Side HVAC - Cooling Tower and Condenser Water</t>
  </si>
  <si>
    <t>Secondary CHW Pump Flow</t>
  </si>
  <si>
    <t>Secondary CHW Pump Control</t>
  </si>
  <si>
    <t>Water-Side Economizer</t>
  </si>
  <si>
    <t>Water-Side Energy Recovery</t>
  </si>
  <si>
    <t>Number of Cooling Towers/Fluid Coolers</t>
  </si>
  <si>
    <t>Cooling Tower Fan Power</t>
  </si>
  <si>
    <t>Cooling Tower Fan Control</t>
  </si>
  <si>
    <t>Condenser Water (CW) Leaving Temp</t>
  </si>
  <si>
    <t>CW ΔT</t>
  </si>
  <si>
    <t>CW Loop Temp Reset Parameters</t>
  </si>
  <si>
    <t>Number of CW Pumps</t>
  </si>
  <si>
    <t>CW Pump Power</t>
  </si>
  <si>
    <t>CW Pump Flow</t>
  </si>
  <si>
    <t>CW Pump Control</t>
  </si>
  <si>
    <t>Performance</t>
  </si>
  <si>
    <t>gpm/hp</t>
  </si>
  <si>
    <t>6l</t>
  </si>
  <si>
    <t>Water-Side HVAC: Hot Water or Steam</t>
  </si>
  <si>
    <t>6m</t>
  </si>
  <si>
    <t>Geothermal Systems</t>
  </si>
  <si>
    <t>Number and Type of Boilers</t>
  </si>
  <si>
    <t>Type of Geothermal system</t>
  </si>
  <si>
    <t>Total Boiler Capacity</t>
  </si>
  <si>
    <t>Soil Conductivity (if applicable)</t>
  </si>
  <si>
    <t>Boiler Efficiency</t>
  </si>
  <si>
    <t>Geothermal source design temperature - summer</t>
  </si>
  <si>
    <t>Hot Water or Steam (HHW) Supply Temp</t>
  </si>
  <si>
    <t>Geothermal source design temperature - winter</t>
  </si>
  <si>
    <t>HHW ΔT</t>
  </si>
  <si>
    <t>Geoexchange loop design fluid supply temperature - cooling</t>
  </si>
  <si>
    <t>HHW Temp Reset Parameters</t>
  </si>
  <si>
    <t>Geoexchange loop design fluid supply temperature -heating</t>
  </si>
  <si>
    <t>HHW Loop Configuration</t>
  </si>
  <si>
    <t>Geoexchange loop - operating temperature</t>
  </si>
  <si>
    <t>Geothermal energy transfer effect</t>
  </si>
  <si>
    <t>Number of Primary HHW Pumps</t>
  </si>
  <si>
    <t>Geothermal Loop Pumping Configuration</t>
  </si>
  <si>
    <t>Primary HHW Pump Power</t>
  </si>
  <si>
    <t>6n</t>
  </si>
  <si>
    <t>Combined  Heat &amp; Power Systems</t>
  </si>
  <si>
    <t>Number of Geothermal Loop Pumps</t>
  </si>
  <si>
    <t>Primary HHW Pump Flow</t>
  </si>
  <si>
    <t>Geothermal Loop Pump Control</t>
  </si>
  <si>
    <t>Primary HHW Pump Control</t>
  </si>
  <si>
    <t xml:space="preserve">Geothermal Pump Power </t>
  </si>
  <si>
    <t>Number of Secondary HHW Pumps</t>
  </si>
  <si>
    <t>CHP: Type of generator</t>
  </si>
  <si>
    <t>W/gpm</t>
  </si>
  <si>
    <t>Geothermal Loop Flow</t>
  </si>
  <si>
    <t>Secondary HHW Pump Power</t>
  </si>
  <si>
    <t>Secondary HHW Pump Flow</t>
  </si>
  <si>
    <t>Geothermal Air-side Efficiency curves</t>
  </si>
  <si>
    <t>Quantity of CHP generators</t>
  </si>
  <si>
    <t>Secondary HHW Pump Control</t>
  </si>
  <si>
    <t>Total capacity of CHP generators (kW) at design conditions</t>
  </si>
  <si>
    <t>CHP: Thermal efficiency (%) at design conditions</t>
  </si>
  <si>
    <t>CHP: Electrical efficiency (%) at design conditions</t>
  </si>
  <si>
    <t>CHP: Controls / Schedule</t>
  </si>
  <si>
    <t>CHP: Fuel Source</t>
  </si>
  <si>
    <t>CHP: Where is the recovered heat used? (e.g. gas absorption chillers, hot water distribution loop, etc.)</t>
  </si>
  <si>
    <t>CHP: Backup heat source when waste heat from CHP is unavailable? (e.g. fossil fuel boilers)</t>
  </si>
  <si>
    <t>CHP: Parasitic losses (e.g. air handling unit to cool the intake air)</t>
  </si>
  <si>
    <t>BPF weighted avg</t>
  </si>
  <si>
    <t>Envelope Backstop weighted avg</t>
  </si>
  <si>
    <t>WWR weighted avg</t>
  </si>
  <si>
    <t>Building Area Method Categories</t>
  </si>
  <si>
    <t>All other</t>
  </si>
  <si>
    <t>Table 9.5.1 LPD (W/sf)</t>
  </si>
  <si>
    <t>Table G</t>
  </si>
  <si>
    <t>Assembly</t>
  </si>
  <si>
    <t>Space by Space Categories</t>
  </si>
  <si>
    <t>Table 9.6.1 LPD (W/sf)</t>
  </si>
  <si>
    <t>Additional Controls</t>
  </si>
  <si>
    <t>office</t>
  </si>
  <si>
    <t>Education</t>
  </si>
  <si>
    <t>Atrium - first 40ft in height</t>
  </si>
  <si>
    <t>Group I-4</t>
  </si>
  <si>
    <r>
      <rPr>
        <rFont val="Calibri"/>
        <color theme="1"/>
      </rPr>
      <t>Hotel/motel (</t>
    </r>
    <r>
      <rPr>
        <rFont val="Calibri"/>
        <color theme="1"/>
        <sz val="11.0"/>
        <u/>
      </rPr>
      <t>&lt;</t>
    </r>
    <r>
      <rPr>
        <rFont val="Calibri"/>
        <color theme="1"/>
        <sz val="11.0"/>
      </rPr>
      <t xml:space="preserve"> 75 rooms)</t>
    </r>
  </si>
  <si>
    <t>Atrium - height above 40ft</t>
  </si>
  <si>
    <t>Decorative</t>
  </si>
  <si>
    <t>Audience/seating area - all other</t>
  </si>
  <si>
    <t>Retail Display</t>
  </si>
  <si>
    <t>Audience/seating area - auditorium</t>
  </si>
  <si>
    <r>
      <rPr>
        <rFont val="Calibri"/>
        <color theme="1"/>
      </rPr>
      <t>Office (</t>
    </r>
    <r>
      <rPr>
        <rFont val="Calibri"/>
        <color theme="1"/>
        <sz val="11.0"/>
        <u/>
      </rPr>
      <t>&lt;</t>
    </r>
    <r>
      <rPr>
        <rFont val="Calibri"/>
        <color theme="1"/>
        <sz val="11.0"/>
      </rPr>
      <t xml:space="preserve"> 5000 ft</t>
    </r>
    <r>
      <rPr>
        <rFont val="Calibri"/>
        <color theme="1"/>
        <sz val="11.0"/>
        <vertAlign val="superscript"/>
      </rPr>
      <t>2</t>
    </r>
    <r>
      <rPr>
        <rFont val="Calibri"/>
        <color theme="1"/>
        <sz val="11.0"/>
      </rPr>
      <t>)</t>
    </r>
  </si>
  <si>
    <t>Group H</t>
  </si>
  <si>
    <t>Room Cavity Ratio</t>
  </si>
  <si>
    <r>
      <rPr>
        <rFont val="Calibri"/>
        <color theme="1"/>
      </rPr>
      <t>Office (&gt; 50,000 ft</t>
    </r>
    <r>
      <rPr>
        <rFont val="Calibri"/>
        <color theme="1"/>
        <sz val="11.0"/>
        <vertAlign val="superscript"/>
      </rPr>
      <t>2</t>
    </r>
    <r>
      <rPr>
        <rFont val="Calibri"/>
        <color theme="1"/>
        <sz val="11.0"/>
      </rPr>
      <t>)</t>
    </r>
  </si>
  <si>
    <t>Audience/seating area - convention center</t>
  </si>
  <si>
    <t>Group I-2</t>
  </si>
  <si>
    <t>Control Allowance</t>
  </si>
  <si>
    <r>
      <rPr>
        <rFont val="Calibri"/>
        <color theme="1"/>
      </rPr>
      <t>Office (5000 - 50,000 ft</t>
    </r>
    <r>
      <rPr>
        <rFont val="Calibri"/>
        <color theme="1"/>
        <sz val="11.0"/>
        <vertAlign val="superscript"/>
      </rPr>
      <t>2</t>
    </r>
    <r>
      <rPr>
        <rFont val="Calibri"/>
        <color theme="1"/>
        <sz val="11.0"/>
      </rPr>
      <t>)</t>
    </r>
  </si>
  <si>
    <t>Group I-3</t>
  </si>
  <si>
    <t>Audience/seating area - exercise center</t>
  </si>
  <si>
    <t>Audience/seating area - gymnasium</t>
  </si>
  <si>
    <t>Audience/seating area - motion picture theater</t>
  </si>
  <si>
    <t>Audience/seating area - penitentiary</t>
  </si>
  <si>
    <t>Audience/seating area - performing arts theater</t>
  </si>
  <si>
    <t>Audience/seating area - religious facility</t>
  </si>
  <si>
    <t>Audience/seating area - sports arena</t>
  </si>
  <si>
    <t>Lighting Zone</t>
  </si>
  <si>
    <t>Audience/seating area - transportation facility</t>
  </si>
  <si>
    <t>Automotive</t>
  </si>
  <si>
    <t>Banking Activity Area</t>
  </si>
  <si>
    <t>Classroom/lecture/training - all other</t>
  </si>
  <si>
    <t>Classroom/lecture/training - penitentiary</t>
  </si>
  <si>
    <t>Computer Room</t>
  </si>
  <si>
    <t>Undeveloped areas within national and state parks, forest land and rural areas and other undeveloped areas as approved by the AHJ</t>
  </si>
  <si>
    <t>Conference/meeting/multipurpose</t>
  </si>
  <si>
    <t>Confinement Cells</t>
  </si>
  <si>
    <t>Convention Center-Exhibit Space</t>
  </si>
  <si>
    <t>Park Land</t>
  </si>
  <si>
    <t>Copy/Print Room</t>
  </si>
  <si>
    <t>Corridor - all other</t>
  </si>
  <si>
    <t>Corridor - facility for visually impaired</t>
  </si>
  <si>
    <t>Corridor - hospital</t>
  </si>
  <si>
    <t>R districts, R districts with C overlays and MX districts</t>
  </si>
  <si>
    <t>Corridor - manufacturing facility</t>
  </si>
  <si>
    <t>Courtroom</t>
  </si>
  <si>
    <t>Dining Area - all other</t>
  </si>
  <si>
    <t>M districts, except MX; C districts, except C5, C6 and C overlays on R</t>
  </si>
  <si>
    <t>Dining Area - Bar Lounge/Leisure Dining</t>
  </si>
  <si>
    <t>Dining Area - cafeteria/fast food</t>
  </si>
  <si>
    <t>Dining Area - facility for visually impaired</t>
  </si>
  <si>
    <t>Dining Area - Family Dining</t>
  </si>
  <si>
    <t>C5 and C6 districts</t>
  </si>
  <si>
    <t>Dining Area - penitentiary</t>
  </si>
  <si>
    <t>Dormitory - living quarters</t>
  </si>
  <si>
    <t>Electrical/Mechanical</t>
  </si>
  <si>
    <t>Emergency Vehicle Garage</t>
  </si>
  <si>
    <t>Facility for Visually Impaired - in a chapel</t>
  </si>
  <si>
    <t>Facility for Visually Impaired - in a rec room/common living rm</t>
  </si>
  <si>
    <t>Fire station - sleeping quarters</t>
  </si>
  <si>
    <t>Food Preparation Area</t>
  </si>
  <si>
    <t>Guest Room</t>
  </si>
  <si>
    <t>Gymnasium/Exercise Center-Playing Area</t>
  </si>
  <si>
    <t>Gymnasium/Fitness Center - exercise area</t>
  </si>
  <si>
    <t>Healthcare facility - exam treatment room</t>
  </si>
  <si>
    <t>Healthcare facility - imaging room</t>
  </si>
  <si>
    <t>Area Allowance (watts/sq.ft)</t>
  </si>
  <si>
    <t>Healthcare facility - medical supply room</t>
  </si>
  <si>
    <t>Linear Allowance (watts/linear foot)</t>
  </si>
  <si>
    <t>Healthcare facility - nursery</t>
  </si>
  <si>
    <t>Healthcare facility - nurse's station</t>
  </si>
  <si>
    <t>YES</t>
  </si>
  <si>
    <t>Healthcare facility - Operating Room</t>
  </si>
  <si>
    <t>Healthcare facility - Patient Room</t>
  </si>
  <si>
    <t>Healthcare facility - Physical Therapy</t>
  </si>
  <si>
    <t>Healthcare facility - Recovery</t>
  </si>
  <si>
    <t>NO</t>
  </si>
  <si>
    <t>Laboratory - in or as a classroom</t>
  </si>
  <si>
    <t>Surface</t>
  </si>
  <si>
    <t>Laboratory - other</t>
  </si>
  <si>
    <t>Surface Type</t>
  </si>
  <si>
    <t>LZ0</t>
  </si>
  <si>
    <t>Laundry/Washing Area</t>
  </si>
  <si>
    <t>LZ1</t>
  </si>
  <si>
    <t>Library - Reading Area</t>
  </si>
  <si>
    <t>LZ2</t>
  </si>
  <si>
    <t>LZ3</t>
  </si>
  <si>
    <t>Library - Stacks</t>
  </si>
  <si>
    <t>LZ4</t>
  </si>
  <si>
    <t>Loading Dock, Interior</t>
  </si>
  <si>
    <t>Lobby - all other</t>
  </si>
  <si>
    <t>Base Allowance</t>
  </si>
  <si>
    <t>Lobby - Elevator</t>
  </si>
  <si>
    <t>Unit Allowance</t>
  </si>
  <si>
    <t>Surface2</t>
  </si>
  <si>
    <t>Lobby - facility for visually impaired</t>
  </si>
  <si>
    <t>Lobby - Hotel</t>
  </si>
  <si>
    <t>Lobby - Motion Picture Theater</t>
  </si>
  <si>
    <t>Lobby - Performing Arts Theater</t>
  </si>
  <si>
    <t>Locker Room</t>
  </si>
  <si>
    <t>ATM or Night Depository</t>
  </si>
  <si>
    <t>Lounge/Breakroom - all other</t>
  </si>
  <si>
    <t>Nontradable</t>
  </si>
  <si>
    <t>Lounge/Breakroom - healthcare facility</t>
  </si>
  <si>
    <t>Manufacturing-Detailed Manufacturing</t>
  </si>
  <si>
    <t>Manufacturing-Equipment Room</t>
  </si>
  <si>
    <t>Manufacturing-Extra High Bay (&gt;50ft floor to ceiling ht)</t>
  </si>
  <si>
    <t>Manufacturing-High Bay (25-50ft floor to ceiling ht)</t>
  </si>
  <si>
    <t>Manufacturing-Low Bay (&lt;25ft floor to ceiling ht)</t>
  </si>
  <si>
    <t>Uncovered parking areas and drives</t>
  </si>
  <si>
    <t>Tradable</t>
  </si>
  <si>
    <t>Multifamily Dwelling Unit</t>
  </si>
  <si>
    <t>Museum-General Exhibition</t>
  </si>
  <si>
    <t>Museum-Restoration</t>
  </si>
  <si>
    <r>
      <rPr>
        <rFont val="Calibri"/>
        <color theme="1"/>
        <sz val="10.0"/>
      </rPr>
      <t xml:space="preserve">Office - Enclosed and </t>
    </r>
    <r>
      <rPr>
        <rFont val="Calibri"/>
        <color theme="1"/>
        <sz val="10.0"/>
        <u/>
      </rPr>
      <t>&lt;</t>
    </r>
    <r>
      <rPr>
        <rFont val="Calibri"/>
        <color theme="1"/>
        <sz val="10.0"/>
      </rPr>
      <t xml:space="preserve"> 250 sqft</t>
    </r>
  </si>
  <si>
    <t>Building façade</t>
  </si>
  <si>
    <t>Office - Enclosed and &gt; 250 sqft</t>
  </si>
  <si>
    <t>Office - Open Plan</t>
  </si>
  <si>
    <t>Parking Area, Interior</t>
  </si>
  <si>
    <t>Performing Arts Theater - dressing room</t>
  </si>
  <si>
    <t>Pharmacy Area</t>
  </si>
  <si>
    <t>Post Office-Sorting Area</t>
  </si>
  <si>
    <t>Walkways less than 10' wide</t>
  </si>
  <si>
    <t>Religious Buildings-Fellowship Hall</t>
  </si>
  <si>
    <t>Religious Buildings-Worship Pulpit, Choir</t>
  </si>
  <si>
    <t>Restroom - all other</t>
  </si>
  <si>
    <t>Restroom - visually impaired</t>
  </si>
  <si>
    <t>Retail-Dressing/Fitting Room</t>
  </si>
  <si>
    <t>Drive-thrus</t>
  </si>
  <si>
    <t>Retail-Mall Concourse</t>
  </si>
  <si>
    <t>Sales Area</t>
  </si>
  <si>
    <t>Seating Area, General</t>
  </si>
  <si>
    <t>Sports Arena-Court Sports Area-Class 1</t>
  </si>
  <si>
    <t>Sports Arena-Court Sports Area-Class 2</t>
  </si>
  <si>
    <t>Walkways &gt;= 10' wide</t>
  </si>
  <si>
    <t>Sports Arena-Court Sports Area-Class 3</t>
  </si>
  <si>
    <t>Sports Arena-Court Sports Area-Class 4</t>
  </si>
  <si>
    <t>Stairwell</t>
  </si>
  <si>
    <t>Storage room - all other</t>
  </si>
  <si>
    <t>Storage room - hospital</t>
  </si>
  <si>
    <t>Entrances and gatehouse inspection at guarded facilities (uncovered)</t>
  </si>
  <si>
    <t>Storage room &lt; 50 sqft</t>
  </si>
  <si>
    <r>
      <rPr>
        <rFont val="Calibri"/>
        <color theme="1"/>
        <sz val="10.0"/>
      </rPr>
      <t xml:space="preserve">Storage room </t>
    </r>
    <r>
      <rPr>
        <rFont val="Calibri"/>
        <color theme="1"/>
        <sz val="10.0"/>
        <u/>
      </rPr>
      <t xml:space="preserve">&lt; </t>
    </r>
    <r>
      <rPr>
        <rFont val="Calibri"/>
        <color theme="1"/>
        <sz val="10.0"/>
      </rPr>
      <t>50 sqft and &lt; 1000 sqft</t>
    </r>
  </si>
  <si>
    <t>Transportation facility - airport concourse</t>
  </si>
  <si>
    <t>Transportation facility - baggage/carousel area</t>
  </si>
  <si>
    <t>Transportation facility - terminal ticket counter</t>
  </si>
  <si>
    <t>Unfinished: Post construction buildout</t>
  </si>
  <si>
    <t>Plaza areas</t>
  </si>
  <si>
    <t>Vehicular Maintenance Area</t>
  </si>
  <si>
    <t>Warehouse storage - medium to bulky, palletized items</t>
  </si>
  <si>
    <t>Warehouse storage - smaller, hand-carried items</t>
  </si>
  <si>
    <t>Entry canopies</t>
  </si>
  <si>
    <t>Special feature areas</t>
  </si>
  <si>
    <t>Landscaping</t>
  </si>
  <si>
    <t>Dining areas</t>
  </si>
  <si>
    <t>Loading area for emergency service vehicles (uncovered)</t>
  </si>
  <si>
    <t>Stairways</t>
  </si>
  <si>
    <t>Loading docks</t>
  </si>
  <si>
    <t>Pedestrian tunnels</t>
  </si>
  <si>
    <t>Other entrances/exits</t>
  </si>
  <si>
    <t>Outdoor sales area</t>
  </si>
  <si>
    <t>Pedestrian and vehicular entrances and exits</t>
  </si>
  <si>
    <t>Sales canopy</t>
  </si>
  <si>
    <t>Primary building entrances</t>
  </si>
  <si>
    <t>Roadway/parking, entry, trailhead, toilet facility</t>
  </si>
  <si>
    <t>Street frontage for vehicle sales</t>
  </si>
  <si>
    <t>Uncovered parking areas and drive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</si>
</sst>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_(* #,##0_);_(* \(#,##0\);_(* &quot;-&quot;??_);_(@_)"/>
    <numFmt numFmtId="166" formatCode="0.00000"/>
    <numFmt numFmtId="167" formatCode="_(&quot;$&quot;* #,##0.00_);_(&quot;$&quot;* \(#,##0.00\);_(&quot;$&quot;* &quot;-&quot;??_);_(@_)"/>
    <numFmt numFmtId="168" formatCode="&quot;$&quot;#,##0.000"/>
    <numFmt numFmtId="169" formatCode="0.000000"/>
    <numFmt numFmtId="170" formatCode="0.000"/>
    <numFmt numFmtId="171" formatCode="0.000000000"/>
    <numFmt numFmtId="172" formatCode="&quot;$&quot;#,##0.00"/>
    <numFmt numFmtId="173" formatCode="0.0%"/>
    <numFmt numFmtId="174" formatCode="0.0000%"/>
  </numFmts>
  <fonts count="30">
    <font>
      <sz val="11.0"/>
      <color theme="1"/>
      <name val="Calibri"/>
      <scheme val="minor"/>
    </font>
    <font>
      <sz val="11.0"/>
      <color rgb="FFFF0000"/>
      <name val="Calibri"/>
    </font>
    <font>
      <sz val="11.0"/>
      <color theme="1"/>
      <name val="Calibri"/>
    </font>
    <font>
      <color theme="1"/>
      <name val="Calibri"/>
    </font>
    <font>
      <i/>
      <sz val="11.0"/>
      <color theme="1"/>
      <name val="Arial"/>
    </font>
    <font>
      <b/>
      <sz val="10.0"/>
      <color theme="1"/>
      <name val="Arial"/>
    </font>
    <font/>
    <font>
      <sz val="10.0"/>
      <color theme="1"/>
      <name val="Arial"/>
    </font>
    <font>
      <b/>
      <sz val="14.0"/>
      <color rgb="FFFF0000"/>
      <name val="Calibri"/>
    </font>
    <font>
      <sz val="9.0"/>
      <color theme="1"/>
      <name val="Calibri"/>
    </font>
    <font>
      <b/>
      <sz val="9.0"/>
      <color theme="1"/>
      <name val="Calibri"/>
    </font>
    <font>
      <b/>
      <sz val="14.0"/>
      <color theme="1"/>
      <name val="Calibri"/>
    </font>
    <font>
      <b/>
      <sz val="8.0"/>
      <color theme="1"/>
      <name val="Arial"/>
    </font>
    <font>
      <b/>
      <sz val="12.0"/>
      <color theme="1"/>
      <name val="Calibri"/>
    </font>
    <font>
      <sz val="8.0"/>
      <color theme="1"/>
      <name val="Arial"/>
    </font>
    <font>
      <sz val="12.0"/>
      <color theme="1"/>
      <name val="Calibri"/>
    </font>
    <font>
      <b/>
      <sz val="8.0"/>
      <color theme="1"/>
      <name val="Calibri"/>
    </font>
    <font>
      <sz val="8.0"/>
      <color theme="1"/>
      <name val="Calibri"/>
    </font>
    <font>
      <sz val="10.0"/>
      <color theme="1"/>
      <name val="Calibri"/>
    </font>
    <font>
      <sz val="10.0"/>
      <color rgb="FF000000"/>
      <name val="Tahoma"/>
    </font>
    <font>
      <sz val="11.0"/>
      <color theme="1"/>
      <name val="Arial"/>
    </font>
    <font>
      <sz val="8.0"/>
      <color rgb="FF000000"/>
      <name val="Arial"/>
    </font>
    <font>
      <b/>
      <sz val="10.0"/>
      <color theme="1"/>
      <name val="Calibri"/>
    </font>
    <font>
      <b/>
      <sz val="10.0"/>
      <color rgb="FFFF0000"/>
      <name val="Calibri"/>
    </font>
    <font>
      <i/>
      <sz val="8.0"/>
      <color theme="1"/>
      <name val="Calibri"/>
    </font>
    <font>
      <b/>
      <sz val="11.0"/>
      <color theme="1"/>
      <name val="Calibri"/>
    </font>
    <font>
      <b/>
      <sz val="11.0"/>
      <color rgb="FFFA7D00"/>
      <name val="Calibri"/>
    </font>
    <font>
      <sz val="11.0"/>
      <color rgb="FF006100"/>
      <name val="Calibri"/>
    </font>
    <font>
      <sz val="8.0"/>
      <color rgb="FF000000"/>
      <name val="Calibri"/>
    </font>
    <font>
      <i/>
      <sz val="8.0"/>
      <color rgb="FF000000"/>
      <name val="Calibri"/>
    </font>
  </fonts>
  <fills count="19">
    <fill>
      <patternFill patternType="none"/>
    </fill>
    <fill>
      <patternFill patternType="lightGray"/>
    </fill>
    <fill>
      <patternFill patternType="solid">
        <fgColor rgb="FFD8D8D8"/>
        <bgColor rgb="FFD8D8D8"/>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DBE5F1"/>
        <bgColor rgb="FFDBE5F1"/>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
      <patternFill patternType="solid">
        <fgColor theme="0"/>
        <bgColor theme="0"/>
      </patternFill>
    </fill>
    <fill>
      <patternFill patternType="solid">
        <fgColor rgb="FFFFFFFF"/>
        <bgColor rgb="FFFFFFFF"/>
      </patternFill>
    </fill>
    <fill>
      <patternFill patternType="solid">
        <fgColor rgb="FFDCE6F1"/>
        <bgColor rgb="FFDCE6F1"/>
      </patternFill>
    </fill>
    <fill>
      <patternFill patternType="solid">
        <fgColor rgb="FFD9D9D9"/>
        <bgColor rgb="FFD9D9D9"/>
      </patternFill>
    </fill>
    <fill>
      <patternFill patternType="solid">
        <fgColor rgb="FFD8E4BC"/>
        <bgColor rgb="FFD8E4BC"/>
      </patternFill>
    </fill>
    <fill>
      <patternFill patternType="solid">
        <fgColor rgb="FFF2F2F2"/>
        <bgColor rgb="FFF2F2F2"/>
      </patternFill>
    </fill>
    <fill>
      <patternFill patternType="solid">
        <fgColor rgb="FFC6EFCE"/>
        <bgColor rgb="FFC6EFCE"/>
      </patternFill>
    </fill>
    <fill>
      <patternFill patternType="solid">
        <fgColor rgb="FFFDE9D9"/>
        <bgColor rgb="FFFDE9D9"/>
      </patternFill>
    </fill>
    <fill>
      <patternFill patternType="solid">
        <fgColor rgb="FFBFBFBF"/>
        <bgColor rgb="FFBFBFBF"/>
      </patternFill>
    </fill>
  </fills>
  <borders count="99">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right style="medium">
        <color rgb="FF000000"/>
      </right>
      <bottom style="medium">
        <color rgb="FF000000"/>
      </bottom>
    </border>
    <border>
      <right style="medium">
        <color rgb="FF000000"/>
      </right>
    </border>
    <border>
      <left style="medium">
        <color rgb="FF000000"/>
      </lef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rder>
    <border>
      <top/>
    </border>
    <border>
      <left/>
      <bottom style="thin">
        <color rgb="FF000000"/>
      </bottom>
    </border>
    <border>
      <left style="medium">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top style="thin">
        <color rgb="FF000000"/>
      </top>
      <bottom style="thin">
        <color rgb="FF000000"/>
      </bottom>
    </border>
    <border>
      <left style="thin">
        <color rgb="FF000000"/>
      </left>
      <top style="medium">
        <color rgb="FF000000"/>
      </top>
      <bottom style="thin">
        <color rgb="FF000000"/>
      </bottom>
    </border>
    <border>
      <left/>
      <right style="thin">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top/>
      <bottom style="thin">
        <color rgb="FF000000"/>
      </bottom>
    </border>
    <border>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bottom style="medium">
        <color rgb="FF000000"/>
      </bottom>
    </border>
    <border>
      <left style="thin">
        <color rgb="FF000000"/>
      </left>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right/>
      <top/>
      <bottom style="thin">
        <color rgb="FF000000"/>
      </bottom>
    </border>
    <border>
      <left/>
      <right style="thin">
        <color rgb="FF000000"/>
      </right>
      <top/>
      <bottom style="thin">
        <color rgb="FF000000"/>
      </bottom>
    </border>
    <border>
      <top style="thin">
        <color rgb="FF000000"/>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border>
    <border>
      <left/>
      <right style="thin">
        <color rgb="FF000000"/>
      </right>
    </border>
    <border>
      <left style="thin">
        <color rgb="FF000000"/>
      </left>
      <right style="thin">
        <color rgb="FF000000"/>
      </right>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top style="thin">
        <color rgb="FF000000"/>
      </top>
      <bottom style="thin">
        <color rgb="FF000000"/>
      </bottom>
    </border>
    <border>
      <left/>
    </border>
    <border>
      <left style="thin">
        <color rgb="FF7F7F7F"/>
      </left>
      <right style="thin">
        <color rgb="FF7F7F7F"/>
      </right>
      <top style="thin">
        <color rgb="FF7F7F7F"/>
      </top>
      <bottom style="thin">
        <color rgb="FF7F7F7F"/>
      </bottom>
    </border>
    <border>
      <left style="medium">
        <color rgb="FF000000"/>
      </left>
      <right style="thin">
        <color rgb="FF000000"/>
      </right>
      <top style="medium">
        <color rgb="FF000000"/>
      </top>
      <bottom style="thin">
        <color rgb="FF000000"/>
      </bottom>
    </border>
  </borders>
  <cellStyleXfs count="1">
    <xf borderId="0" fillId="0" fontId="0" numFmtId="0" applyAlignment="1" applyFont="1"/>
  </cellStyleXfs>
  <cellXfs count="440">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0" fontId="2" numFmtId="0" xfId="0" applyAlignment="1" applyFont="1">
      <alignment horizontal="center" shrinkToFit="0" wrapText="1"/>
    </xf>
    <xf borderId="0" fillId="0" fontId="2" numFmtId="0" xfId="0" applyFont="1"/>
    <xf borderId="0" fillId="0" fontId="2" numFmtId="0" xfId="0" applyAlignment="1" applyFont="1">
      <alignment horizontal="center"/>
    </xf>
    <xf borderId="1" fillId="2" fontId="2" numFmtId="0" xfId="0" applyBorder="1" applyFill="1" applyFont="1"/>
    <xf borderId="0" fillId="0" fontId="2" numFmtId="0" xfId="0" applyAlignment="1" applyFont="1">
      <alignment horizontal="center" vertical="center"/>
    </xf>
    <xf borderId="1" fillId="3" fontId="2" numFmtId="0" xfId="0" applyBorder="1" applyFill="1" applyFont="1"/>
    <xf borderId="1" fillId="4" fontId="2" numFmtId="0" xfId="0" applyBorder="1" applyFill="1" applyFont="1"/>
    <xf borderId="2" fillId="5" fontId="2" numFmtId="0" xfId="0" applyBorder="1" applyFill="1" applyFont="1"/>
    <xf borderId="0" fillId="0" fontId="3" numFmtId="0" xfId="0" applyFont="1"/>
    <xf borderId="1" fillId="6" fontId="2" numFmtId="0" xfId="0" applyBorder="1" applyFill="1" applyFont="1"/>
    <xf borderId="1" fillId="7" fontId="2" numFmtId="0" xfId="0" applyAlignment="1" applyBorder="1" applyFill="1" applyFont="1">
      <alignment shrinkToFit="0" wrapText="1"/>
    </xf>
    <xf borderId="1" fillId="8" fontId="2" numFmtId="0" xfId="0" applyAlignment="1" applyBorder="1" applyFill="1" applyFont="1">
      <alignment horizontal="left" shrinkToFit="0" vertical="center" wrapText="1"/>
    </xf>
    <xf borderId="1" fillId="0" fontId="2" numFmtId="0" xfId="0" applyBorder="1" applyFont="1"/>
    <xf borderId="0" fillId="0" fontId="2" numFmtId="0" xfId="0" applyAlignment="1" applyFont="1">
      <alignment horizontal="center" shrinkToFit="0" vertical="center" wrapText="1"/>
    </xf>
    <xf borderId="0" fillId="0" fontId="2" numFmtId="2" xfId="0" applyAlignment="1" applyFont="1" applyNumberFormat="1">
      <alignment horizontal="center"/>
    </xf>
    <xf quotePrefix="1" borderId="0" fillId="0" fontId="2" numFmtId="2" xfId="0" applyAlignment="1" applyFont="1" applyNumberFormat="1">
      <alignment horizontal="center"/>
    </xf>
    <xf borderId="0" fillId="0" fontId="2" numFmtId="1" xfId="0" applyAlignment="1" applyFont="1" applyNumberFormat="1">
      <alignment horizontal="center"/>
    </xf>
    <xf quotePrefix="1" borderId="0" fillId="0" fontId="2" numFmtId="1" xfId="0" applyAlignment="1" applyFont="1" applyNumberFormat="1">
      <alignment horizontal="center"/>
    </xf>
    <xf borderId="0" fillId="0" fontId="2" numFmtId="164" xfId="0" applyAlignment="1" applyFont="1" applyNumberFormat="1">
      <alignment horizontal="center"/>
    </xf>
    <xf quotePrefix="1" borderId="0" fillId="0" fontId="2" numFmtId="164" xfId="0" applyAlignment="1" applyFont="1" applyNumberFormat="1">
      <alignment horizontal="center"/>
    </xf>
    <xf borderId="0" fillId="0" fontId="2" numFmtId="14" xfId="0" applyAlignment="1" applyFont="1" applyNumberFormat="1">
      <alignment horizontal="left"/>
    </xf>
    <xf borderId="0" fillId="0" fontId="2" numFmtId="0" xfId="0" applyAlignment="1" applyFont="1">
      <alignment horizontal="left"/>
    </xf>
    <xf quotePrefix="1" borderId="0" fillId="0" fontId="2" numFmtId="0" xfId="0" applyAlignment="1" applyFont="1">
      <alignment horizontal="left"/>
    </xf>
    <xf borderId="0" fillId="0" fontId="4" numFmtId="0" xfId="0" applyAlignment="1" applyFont="1">
      <alignment horizontal="left" vertical="center"/>
    </xf>
    <xf borderId="3" fillId="0" fontId="5" numFmtId="0" xfId="0" applyAlignment="1" applyBorder="1" applyFont="1">
      <alignment shrinkToFit="0" vertical="center" wrapText="1"/>
    </xf>
    <xf borderId="4" fillId="0" fontId="5" numFmtId="0" xfId="0" applyAlignment="1" applyBorder="1" applyFont="1">
      <alignment horizontal="left" shrinkToFit="0" vertical="center" wrapText="1"/>
    </xf>
    <xf borderId="5" fillId="0" fontId="6" numFmtId="0" xfId="0" applyBorder="1" applyFont="1"/>
    <xf borderId="6" fillId="0" fontId="6" numFmtId="0" xfId="0" applyBorder="1" applyFont="1"/>
    <xf borderId="7" fillId="0" fontId="7" numFmtId="0" xfId="0" applyAlignment="1" applyBorder="1" applyFont="1">
      <alignment shrinkToFit="0" vertical="center" wrapText="1"/>
    </xf>
    <xf borderId="8" fillId="0" fontId="7" numFmtId="0" xfId="0" applyAlignment="1" applyBorder="1" applyFont="1">
      <alignment shrinkToFit="0" vertical="center" wrapText="1"/>
    </xf>
    <xf borderId="4" fillId="0" fontId="7" numFmtId="0" xfId="0" applyAlignment="1" applyBorder="1" applyFont="1">
      <alignment horizontal="left" shrinkToFit="0" vertical="center" wrapText="1"/>
    </xf>
    <xf borderId="9" fillId="0" fontId="6" numFmtId="0" xfId="0" applyBorder="1" applyFont="1"/>
    <xf borderId="10" fillId="0" fontId="7" numFmtId="0" xfId="0" applyAlignment="1" applyBorder="1" applyFont="1">
      <alignment shrinkToFit="0" vertical="center" wrapText="1"/>
    </xf>
    <xf borderId="8" fillId="0" fontId="6" numFmtId="0" xfId="0" applyBorder="1" applyFont="1"/>
    <xf borderId="4" fillId="0" fontId="7" numFmtId="0" xfId="0" applyAlignment="1" applyBorder="1" applyFont="1">
      <alignment shrinkToFit="0" vertical="center" wrapText="1"/>
    </xf>
    <xf borderId="4" fillId="0" fontId="7" numFmtId="0" xfId="0" applyAlignment="1" applyBorder="1" applyFont="1">
      <alignment horizontal="center" shrinkToFit="0" vertical="center" wrapText="1"/>
    </xf>
    <xf borderId="0" fillId="0" fontId="2" numFmtId="0" xfId="0" applyAlignment="1" applyFont="1">
      <alignment shrinkToFit="0" vertical="center" wrapText="1"/>
    </xf>
    <xf borderId="0" fillId="0" fontId="7" numFmtId="0" xfId="0" applyAlignment="1" applyFont="1">
      <alignment vertical="center"/>
    </xf>
    <xf borderId="3" fillId="0" fontId="5" numFmtId="0" xfId="0" applyAlignment="1" applyBorder="1" applyFont="1">
      <alignment horizontal="right" shrinkToFit="0" vertical="center" wrapText="1"/>
    </xf>
    <xf borderId="4" fillId="0" fontId="5" numFmtId="0" xfId="0" applyAlignment="1" applyBorder="1" applyFont="1">
      <alignment shrinkToFit="0" vertical="center" wrapText="1"/>
    </xf>
    <xf borderId="7" fillId="0" fontId="7" numFmtId="0" xfId="0" applyAlignment="1" applyBorder="1" applyFont="1">
      <alignment horizontal="right" shrinkToFit="0" vertical="center" wrapText="1"/>
    </xf>
    <xf borderId="11" fillId="0" fontId="8" numFmtId="0" xfId="0" applyAlignment="1" applyBorder="1" applyFont="1">
      <alignment horizontal="center" vertical="center"/>
    </xf>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0" fontId="6" numFmtId="0" xfId="0" applyBorder="1" applyFont="1"/>
    <xf borderId="18" fillId="0" fontId="6" numFmtId="0" xfId="0" applyBorder="1" applyFont="1"/>
    <xf borderId="0" fillId="0" fontId="9" numFmtId="0" xfId="0" applyFont="1"/>
    <xf borderId="4" fillId="0" fontId="10" numFmtId="0" xfId="0" applyAlignment="1" applyBorder="1" applyFont="1">
      <alignment shrinkToFit="0" vertical="center" wrapText="1"/>
    </xf>
    <xf borderId="19" fillId="9" fontId="9" numFmtId="0" xfId="0" applyAlignment="1" applyBorder="1" applyFill="1" applyFont="1">
      <alignment horizontal="left" shrinkToFit="0" wrapText="1"/>
    </xf>
    <xf borderId="0" fillId="0" fontId="3" numFmtId="0" xfId="0" applyAlignment="1" applyFont="1">
      <alignment shrinkToFit="0" wrapText="1"/>
    </xf>
    <xf borderId="4" fillId="0" fontId="11" numFmtId="0" xfId="0" applyAlignment="1" applyBorder="1" applyFont="1">
      <alignment horizontal="center" shrinkToFit="0" vertical="center" wrapText="1"/>
    </xf>
    <xf borderId="20" fillId="0" fontId="6" numFmtId="0" xfId="0" applyBorder="1" applyFont="1"/>
    <xf borderId="21" fillId="0" fontId="6" numFmtId="0" xfId="0" applyBorder="1" applyFont="1"/>
    <xf borderId="0" fillId="0" fontId="7" numFmtId="0" xfId="0" applyAlignment="1" applyFont="1">
      <alignment horizontal="right" shrinkToFit="0" vertical="center" wrapText="1"/>
    </xf>
    <xf borderId="22" fillId="2" fontId="10" numFmtId="0" xfId="0" applyAlignment="1" applyBorder="1" applyFont="1">
      <alignment shrinkToFit="0" vertical="center" wrapText="1"/>
    </xf>
    <xf borderId="0" fillId="0" fontId="7" numFmtId="0" xfId="0" applyAlignment="1" applyFont="1">
      <alignment shrinkToFit="0" vertical="center" wrapText="1"/>
    </xf>
    <xf borderId="1" fillId="2" fontId="12" numFmtId="0" xfId="0" applyAlignment="1" applyBorder="1" applyFont="1">
      <alignment shrinkToFit="0" vertical="center" wrapText="1"/>
    </xf>
    <xf borderId="23" fillId="2" fontId="10" numFmtId="0" xfId="0" applyAlignment="1" applyBorder="1" applyFont="1">
      <alignment horizontal="center" shrinkToFit="0" vertical="center" wrapText="1"/>
    </xf>
    <xf borderId="0" fillId="0" fontId="2" numFmtId="0" xfId="0" applyAlignment="1" applyFont="1">
      <alignment horizontal="right" shrinkToFit="0" vertical="center" wrapText="1"/>
    </xf>
    <xf borderId="24" fillId="0" fontId="6" numFmtId="0" xfId="0" applyBorder="1" applyFont="1"/>
    <xf borderId="25" fillId="2" fontId="12" numFmtId="0" xfId="0" applyAlignment="1" applyBorder="1" applyFont="1">
      <alignment shrinkToFit="0" vertical="center" wrapText="1"/>
    </xf>
    <xf borderId="26" fillId="0" fontId="6" numFmtId="0" xfId="0" applyBorder="1" applyFont="1"/>
    <xf borderId="27" fillId="0" fontId="6" numFmtId="0" xfId="0" applyBorder="1" applyFont="1"/>
    <xf borderId="25" fillId="2" fontId="12" numFmtId="0" xfId="0" applyAlignment="1" applyBorder="1" applyFont="1">
      <alignment horizontal="center" shrinkToFit="0" vertical="center" wrapText="1"/>
    </xf>
    <xf borderId="1" fillId="2" fontId="13" numFmtId="0" xfId="0" applyAlignment="1" applyBorder="1" applyFont="1">
      <alignment shrinkToFit="0" vertical="center" wrapText="1"/>
    </xf>
    <xf borderId="25" fillId="2" fontId="13" numFmtId="0" xfId="0" applyAlignment="1" applyBorder="1" applyFont="1">
      <alignment horizontal="center" shrinkToFit="0" vertical="center" wrapText="1"/>
    </xf>
    <xf borderId="28" fillId="0" fontId="6" numFmtId="0" xfId="0" applyBorder="1" applyFont="1"/>
    <xf borderId="25" fillId="2" fontId="14" numFmtId="0" xfId="0" applyAlignment="1" applyBorder="1" applyFont="1">
      <alignment shrinkToFit="0" vertical="center" wrapText="1"/>
    </xf>
    <xf borderId="29" fillId="6" fontId="9" numFmtId="0" xfId="0" applyAlignment="1" applyBorder="1" applyFont="1">
      <alignment shrinkToFit="0" vertical="center" wrapText="1"/>
    </xf>
    <xf borderId="25" fillId="2" fontId="14" numFmtId="0" xfId="0" applyAlignment="1" applyBorder="1" applyFont="1">
      <alignment horizontal="center" shrinkToFit="0" vertical="center" wrapText="1"/>
    </xf>
    <xf borderId="25" fillId="0" fontId="9" numFmtId="165" xfId="0" applyAlignment="1" applyBorder="1" applyFont="1" applyNumberFormat="1">
      <alignment horizontal="center" vertical="center"/>
    </xf>
    <xf borderId="25" fillId="6" fontId="15" numFmtId="0" xfId="0" applyAlignment="1" applyBorder="1" applyFont="1">
      <alignment horizontal="center" shrinkToFit="0" vertical="center" wrapText="1"/>
    </xf>
    <xf borderId="3" fillId="0" fontId="7" numFmtId="0" xfId="0" applyAlignment="1" applyBorder="1" applyFont="1">
      <alignment shrinkToFit="0" vertical="center" wrapText="1"/>
    </xf>
    <xf borderId="25" fillId="3" fontId="9" numFmtId="166" xfId="0" applyAlignment="1" applyBorder="1" applyFont="1" applyNumberFormat="1">
      <alignment horizontal="center" shrinkToFit="0" vertical="center" wrapText="1"/>
    </xf>
    <xf borderId="1" fillId="2" fontId="14" numFmtId="0" xfId="0" applyAlignment="1" applyBorder="1" applyFont="1">
      <alignment shrinkToFit="0" vertical="center" wrapText="1"/>
    </xf>
    <xf borderId="30" fillId="0" fontId="6" numFmtId="0" xfId="0" applyBorder="1" applyFont="1"/>
    <xf borderId="31" fillId="2" fontId="14" numFmtId="0" xfId="0" applyAlignment="1" applyBorder="1" applyFont="1">
      <alignment horizontal="center" shrinkToFit="0" vertical="center" wrapText="1"/>
    </xf>
    <xf borderId="32" fillId="2" fontId="14" numFmtId="0" xfId="0" applyAlignment="1" applyBorder="1" applyFont="1">
      <alignment horizontal="center" shrinkToFit="0" vertical="center" wrapText="1"/>
    </xf>
    <xf borderId="1" fillId="2" fontId="1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33" fillId="0" fontId="9" numFmtId="0" xfId="0" applyAlignment="1" applyBorder="1" applyFont="1">
      <alignment horizontal="right" vertical="center"/>
    </xf>
    <xf borderId="1" fillId="2" fontId="16" numFmtId="0" xfId="0" applyAlignment="1" applyBorder="1" applyFont="1">
      <alignment shrinkToFit="0" vertical="center" wrapText="1"/>
    </xf>
    <xf borderId="25" fillId="2" fontId="16" numFmtId="0" xfId="0" applyAlignment="1" applyBorder="1" applyFont="1">
      <alignment horizontal="center" shrinkToFit="0" vertical="center" wrapText="1"/>
    </xf>
    <xf borderId="34" fillId="3" fontId="14" numFmtId="2" xfId="0" applyAlignment="1" applyBorder="1" applyFont="1" applyNumberFormat="1">
      <alignment horizontal="center" shrinkToFit="0" vertical="center" wrapText="1"/>
    </xf>
    <xf borderId="35" fillId="2" fontId="14" numFmtId="0" xfId="0" applyAlignment="1" applyBorder="1" applyFont="1">
      <alignment horizontal="center" shrinkToFit="0" vertical="center" wrapText="1"/>
    </xf>
    <xf borderId="36" fillId="0" fontId="6" numFmtId="0" xfId="0" applyBorder="1" applyFont="1"/>
    <xf borderId="37" fillId="0" fontId="9" numFmtId="0" xfId="0" applyAlignment="1" applyBorder="1" applyFont="1">
      <alignment horizontal="center" textRotation="90" vertical="center"/>
    </xf>
    <xf borderId="1" fillId="0" fontId="14" numFmtId="165" xfId="0" applyAlignment="1" applyBorder="1" applyFont="1" applyNumberFormat="1">
      <alignment horizontal="right" shrinkToFit="0" wrapText="1"/>
    </xf>
    <xf borderId="38" fillId="0" fontId="9" numFmtId="0" xfId="0" applyAlignment="1" applyBorder="1" applyFont="1">
      <alignment horizontal="right" vertical="center"/>
    </xf>
    <xf borderId="25" fillId="2" fontId="17" numFmtId="0" xfId="0" applyAlignment="1" applyBorder="1" applyFont="1">
      <alignment shrinkToFit="0" vertical="center" wrapText="1"/>
    </xf>
    <xf borderId="1" fillId="0" fontId="14" numFmtId="165" xfId="0" applyAlignment="1" applyBorder="1" applyFont="1" applyNumberFormat="1">
      <alignment shrinkToFit="0" vertical="center" wrapText="1"/>
    </xf>
    <xf borderId="39" fillId="2" fontId="17" numFmtId="0" xfId="0" applyAlignment="1" applyBorder="1" applyFont="1">
      <alignment horizontal="center" shrinkToFit="0" vertical="center" wrapText="1"/>
    </xf>
    <xf borderId="40" fillId="3" fontId="14" numFmtId="167" xfId="0" applyAlignment="1" applyBorder="1" applyFont="1" applyNumberFormat="1">
      <alignment shrinkToFit="0" vertical="center" wrapText="1"/>
    </xf>
    <xf borderId="1" fillId="2" fontId="17" numFmtId="0" xfId="0" applyAlignment="1" applyBorder="1" applyFont="1">
      <alignment shrinkToFit="0" vertical="center" wrapText="1"/>
    </xf>
    <xf borderId="41" fillId="0" fontId="9" numFmtId="0" xfId="0" applyAlignment="1" applyBorder="1" applyFont="1">
      <alignment horizontal="right" vertical="center"/>
    </xf>
    <xf borderId="1" fillId="0" fontId="14" numFmtId="165" xfId="0" applyAlignment="1" applyBorder="1" applyFont="1" applyNumberFormat="1">
      <alignment horizontal="right" shrinkToFit="0" vertical="center" wrapText="1"/>
    </xf>
    <xf borderId="16" fillId="0" fontId="9" numFmtId="0" xfId="0" applyAlignment="1" applyBorder="1" applyFont="1">
      <alignment horizontal="center" shrinkToFit="0" vertical="bottom" wrapText="1"/>
    </xf>
    <xf borderId="42" fillId="0" fontId="6" numFmtId="0" xfId="0" applyBorder="1" applyFont="1"/>
    <xf borderId="43" fillId="0" fontId="6" numFmtId="0" xfId="0" applyBorder="1" applyFont="1"/>
    <xf borderId="0" fillId="0" fontId="17" numFmtId="0" xfId="0" applyAlignment="1" applyFont="1">
      <alignment shrinkToFit="0" wrapText="1"/>
    </xf>
    <xf borderId="44" fillId="0" fontId="9" numFmtId="0" xfId="0" applyAlignment="1" applyBorder="1" applyFont="1">
      <alignment horizontal="right" vertical="center"/>
    </xf>
    <xf borderId="1" fillId="3" fontId="14" numFmtId="165" xfId="0" applyAlignment="1" applyBorder="1" applyFont="1" applyNumberFormat="1">
      <alignment shrinkToFit="0" vertical="center" wrapText="1"/>
    </xf>
    <xf borderId="45" fillId="3" fontId="14" numFmtId="2" xfId="0" applyAlignment="1" applyBorder="1" applyFont="1" applyNumberFormat="1">
      <alignment shrinkToFit="0" vertical="center" wrapText="1"/>
    </xf>
    <xf borderId="1" fillId="0" fontId="17" numFmtId="0" xfId="0" applyAlignment="1" applyBorder="1" applyFont="1">
      <alignment shrinkToFit="0" vertical="center" wrapText="1"/>
    </xf>
    <xf borderId="1" fillId="0" fontId="17" numFmtId="168" xfId="0" applyAlignment="1" applyBorder="1" applyFont="1" applyNumberFormat="1">
      <alignment shrinkToFit="0" vertical="center" wrapText="1"/>
    </xf>
    <xf borderId="25" fillId="0" fontId="9" numFmtId="0" xfId="0" applyAlignment="1" applyBorder="1" applyFont="1">
      <alignment horizontal="center" shrinkToFit="0" vertical="bottom" wrapText="1"/>
    </xf>
    <xf borderId="1" fillId="0" fontId="17" numFmtId="0" xfId="0" applyAlignment="1" applyBorder="1" applyFont="1">
      <alignment horizontal="center" shrinkToFit="0" vertical="center" wrapText="1"/>
    </xf>
    <xf borderId="1" fillId="0" fontId="9" numFmtId="0" xfId="0" applyAlignment="1" applyBorder="1" applyFont="1">
      <alignment horizontal="right" vertical="center"/>
    </xf>
    <xf borderId="1" fillId="3" fontId="17" numFmtId="167" xfId="0" applyAlignment="1" applyBorder="1" applyFont="1" applyNumberFormat="1">
      <alignment shrinkToFit="0" vertical="center" wrapText="1"/>
    </xf>
    <xf borderId="1" fillId="0" fontId="17" numFmtId="167" xfId="0" applyAlignment="1" applyBorder="1" applyFont="1" applyNumberFormat="1">
      <alignment shrinkToFit="0" vertical="center" wrapText="1"/>
    </xf>
    <xf borderId="1" fillId="0" fontId="17" numFmtId="0" xfId="0" applyAlignment="1" applyBorder="1" applyFont="1">
      <alignment horizontal="right" shrinkToFit="0" vertical="center" wrapText="1"/>
    </xf>
    <xf borderId="25" fillId="0" fontId="9" numFmtId="0" xfId="0" applyAlignment="1" applyBorder="1" applyFont="1">
      <alignment horizontal="center" vertical="bottom"/>
    </xf>
    <xf borderId="46" fillId="0" fontId="6" numFmtId="0" xfId="0" applyBorder="1" applyFont="1"/>
    <xf borderId="47" fillId="0" fontId="9" numFmtId="0" xfId="0" applyAlignment="1" applyBorder="1" applyFont="1">
      <alignment horizontal="right" vertical="center"/>
    </xf>
    <xf borderId="0" fillId="0" fontId="17" numFmtId="0" xfId="0" applyFont="1"/>
    <xf borderId="48" fillId="3" fontId="14" numFmtId="169" xfId="0" applyAlignment="1" applyBorder="1" applyFont="1" applyNumberFormat="1">
      <alignment shrinkToFit="0" vertical="center" wrapText="1"/>
    </xf>
    <xf borderId="25" fillId="2" fontId="14" numFmtId="0" xfId="0" applyAlignment="1" applyBorder="1" applyFont="1">
      <alignment horizontal="left" shrinkToFit="0" vertical="center" wrapText="1"/>
    </xf>
    <xf borderId="25" fillId="10" fontId="9" numFmtId="165" xfId="0" applyAlignment="1" applyBorder="1" applyFill="1" applyFont="1" applyNumberFormat="1">
      <alignment horizontal="center" shrinkToFit="0" vertical="center" wrapText="1"/>
    </xf>
    <xf borderId="25" fillId="2" fontId="17" numFmtId="0" xfId="0" applyAlignment="1" applyBorder="1" applyFont="1">
      <alignment horizontal="center" shrinkToFit="0" vertical="center" wrapText="1"/>
    </xf>
    <xf borderId="49" fillId="6" fontId="9" numFmtId="0" xfId="0" applyAlignment="1" applyBorder="1" applyFont="1">
      <alignment shrinkToFit="0" vertical="center" wrapText="1"/>
    </xf>
    <xf borderId="50" fillId="10" fontId="9" numFmtId="165" xfId="0" applyAlignment="1" applyBorder="1" applyFont="1" applyNumberFormat="1">
      <alignment horizontal="center" shrinkToFit="0" vertical="center" wrapText="1"/>
    </xf>
    <xf borderId="51" fillId="0" fontId="6" numFmtId="0" xfId="0" applyBorder="1" applyFont="1"/>
    <xf borderId="40" fillId="3" fontId="14" numFmtId="10" xfId="0" applyAlignment="1" applyBorder="1" applyFont="1" applyNumberFormat="1">
      <alignment shrinkToFit="0" vertical="center" wrapText="1"/>
    </xf>
    <xf borderId="50" fillId="3" fontId="9" numFmtId="166" xfId="0" applyAlignment="1" applyBorder="1" applyFont="1" applyNumberFormat="1">
      <alignment horizontal="center" shrinkToFit="0" vertical="center" wrapText="1"/>
    </xf>
    <xf borderId="45" fillId="3" fontId="14" numFmtId="10" xfId="0" applyAlignment="1" applyBorder="1" applyFont="1" applyNumberFormat="1">
      <alignment shrinkToFit="0" vertical="center" wrapText="1"/>
    </xf>
    <xf borderId="52" fillId="0" fontId="6" numFmtId="0" xfId="0" applyBorder="1" applyFont="1"/>
    <xf borderId="48" fillId="3" fontId="14" numFmtId="10" xfId="0" applyAlignment="1" applyBorder="1" applyFont="1" applyNumberFormat="1">
      <alignment shrinkToFit="0" vertical="center" wrapText="1"/>
    </xf>
    <xf borderId="53" fillId="6" fontId="9" numFmtId="0" xfId="0" applyAlignment="1" applyBorder="1" applyFont="1">
      <alignment shrinkToFit="0" vertical="center" wrapText="1"/>
    </xf>
    <xf borderId="16" fillId="0" fontId="9" numFmtId="0" xfId="0" applyAlignment="1" applyBorder="1" applyFont="1">
      <alignment horizontal="center" readingOrder="0"/>
    </xf>
    <xf borderId="0" fillId="0" fontId="2" numFmtId="0" xfId="0" applyAlignment="1" applyFont="1">
      <alignment shrinkToFit="0" wrapText="1"/>
    </xf>
    <xf borderId="25" fillId="0" fontId="9" numFmtId="0" xfId="0" applyAlignment="1" applyBorder="1" applyFont="1">
      <alignment horizontal="center" readingOrder="0"/>
    </xf>
    <xf borderId="54" fillId="3" fontId="18" numFmtId="165" xfId="0" applyAlignment="1" applyBorder="1" applyFont="1" applyNumberFormat="1">
      <alignment horizontal="center" shrinkToFit="0" vertical="center" wrapText="1"/>
    </xf>
    <xf borderId="0" fillId="0" fontId="2" numFmtId="9" xfId="0" applyAlignment="1" applyFont="1" applyNumberFormat="1">
      <alignment shrinkToFit="0" wrapText="1"/>
    </xf>
    <xf borderId="55" fillId="3" fontId="9" numFmtId="165" xfId="0" applyAlignment="1" applyBorder="1" applyFont="1" applyNumberFormat="1">
      <alignment horizontal="center" shrinkToFit="0" vertical="center" wrapText="1"/>
    </xf>
    <xf borderId="56" fillId="0" fontId="6" numFmtId="0" xfId="0" applyBorder="1" applyFont="1"/>
    <xf borderId="23" fillId="3" fontId="9" numFmtId="165" xfId="0" applyAlignment="1" applyBorder="1" applyFont="1" applyNumberFormat="1">
      <alignment horizontal="center" shrinkToFit="0" vertical="center" wrapText="1"/>
    </xf>
    <xf borderId="57" fillId="3" fontId="9" numFmtId="165" xfId="0" applyAlignment="1" applyBorder="1" applyFont="1" applyNumberFormat="1">
      <alignment horizontal="center" shrinkToFit="0" vertical="center" wrapText="1"/>
    </xf>
    <xf borderId="58" fillId="0" fontId="6" numFmtId="0" xfId="0" applyBorder="1" applyFont="1"/>
    <xf borderId="59" fillId="0" fontId="6" numFmtId="0" xfId="0" applyBorder="1" applyFont="1"/>
    <xf borderId="25" fillId="2" fontId="17" numFmtId="0" xfId="0" applyAlignment="1" applyBorder="1" applyFont="1">
      <alignment horizontal="left" shrinkToFit="0" vertical="center" wrapText="1"/>
    </xf>
    <xf borderId="60" fillId="3" fontId="9" numFmtId="165" xfId="0" applyAlignment="1" applyBorder="1" applyFont="1" applyNumberFormat="1">
      <alignment horizontal="center" shrinkToFit="0" vertical="center" wrapText="1"/>
    </xf>
    <xf borderId="61" fillId="0" fontId="6" numFmtId="0" xfId="0" applyBorder="1" applyFont="1"/>
    <xf borderId="4" fillId="0" fontId="10" numFmtId="0" xfId="0" applyAlignment="1" applyBorder="1" applyFont="1">
      <alignment horizontal="center"/>
    </xf>
    <xf borderId="1" fillId="3" fontId="17" numFmtId="170" xfId="0" applyAlignment="1" applyBorder="1" applyFont="1" applyNumberFormat="1">
      <alignment shrinkToFit="0" vertical="center" wrapText="1"/>
    </xf>
    <xf borderId="1" fillId="7" fontId="17" numFmtId="0" xfId="0" applyAlignment="1" applyBorder="1" applyFont="1">
      <alignment horizontal="center" shrinkToFit="0" vertical="center" wrapText="1"/>
    </xf>
    <xf borderId="62" fillId="2" fontId="10" numFmtId="0" xfId="0" applyAlignment="1" applyBorder="1" applyFont="1">
      <alignment shrinkToFit="0" vertical="center" wrapText="1"/>
    </xf>
    <xf borderId="1" fillId="3" fontId="17" numFmtId="0" xfId="0" applyAlignment="1" applyBorder="1" applyFont="1">
      <alignment horizontal="center" shrinkToFit="0" vertical="center" wrapText="1"/>
    </xf>
    <xf borderId="1" fillId="2" fontId="10" numFmtId="0" xfId="0" applyAlignment="1" applyBorder="1" applyFont="1">
      <alignment shrinkToFit="0" vertical="center" wrapText="1"/>
    </xf>
    <xf borderId="1" fillId="3" fontId="9" numFmtId="165" xfId="0" applyAlignment="1" applyBorder="1" applyFont="1" applyNumberFormat="1">
      <alignment shrinkToFit="0" vertical="center" wrapText="1"/>
    </xf>
    <xf borderId="1" fillId="3" fontId="9" numFmtId="171" xfId="0" applyAlignment="1" applyBorder="1" applyFont="1" applyNumberFormat="1">
      <alignment shrinkToFit="0" vertical="center" wrapText="1"/>
    </xf>
    <xf borderId="1" fillId="3" fontId="9" numFmtId="1" xfId="0" applyAlignment="1" applyBorder="1" applyFont="1" applyNumberFormat="1">
      <alignment shrinkToFit="0" vertical="center" wrapText="1"/>
    </xf>
    <xf borderId="1" fillId="3" fontId="17" numFmtId="165" xfId="0" applyAlignment="1" applyBorder="1" applyFont="1" applyNumberFormat="1">
      <alignment shrinkToFit="0" vertical="center" wrapText="1"/>
    </xf>
    <xf borderId="63" fillId="2" fontId="11" numFmtId="0" xfId="0" applyAlignment="1" applyBorder="1" applyFont="1">
      <alignment horizontal="center" shrinkToFit="0" vertical="center" wrapText="1"/>
    </xf>
    <xf borderId="64" fillId="0" fontId="6" numFmtId="0" xfId="0" applyBorder="1" applyFont="1"/>
    <xf borderId="33" fillId="2" fontId="10" numFmtId="0" xfId="0" applyAlignment="1" applyBorder="1" applyFont="1">
      <alignment horizontal="center" shrinkToFit="0" vertical="center" wrapText="1"/>
    </xf>
    <xf borderId="25" fillId="2" fontId="10" numFmtId="0" xfId="0" applyAlignment="1" applyBorder="1" applyFont="1">
      <alignment horizontal="center" shrinkToFit="0" vertical="center" wrapText="1"/>
    </xf>
    <xf borderId="33" fillId="2" fontId="2" numFmtId="0" xfId="0" applyAlignment="1" applyBorder="1" applyFont="1">
      <alignment horizontal="left" shrinkToFit="0" vertical="center" wrapText="1"/>
    </xf>
    <xf borderId="25" fillId="3" fontId="9" numFmtId="37" xfId="0" applyAlignment="1" applyBorder="1" applyFont="1" applyNumberFormat="1">
      <alignment horizontal="center" shrinkToFit="0" vertical="center" wrapText="1"/>
    </xf>
    <xf borderId="25" fillId="0" fontId="14" numFmtId="172" xfId="0" applyAlignment="1" applyBorder="1" applyFont="1" applyNumberFormat="1">
      <alignment horizontal="center" shrinkToFit="0" vertical="center" wrapText="1"/>
    </xf>
    <xf borderId="25" fillId="3" fontId="14" numFmtId="172" xfId="0" applyAlignment="1" applyBorder="1" applyFont="1" applyNumberFormat="1">
      <alignment horizontal="center" shrinkToFit="0" vertical="center" wrapText="1"/>
    </xf>
    <xf borderId="65" fillId="2" fontId="2" numFmtId="0" xfId="0" applyAlignment="1" applyBorder="1" applyFont="1">
      <alignment horizontal="center" shrinkToFit="0" vertical="center" wrapText="1"/>
    </xf>
    <xf borderId="0" fillId="0" fontId="2" numFmtId="2" xfId="0" applyAlignment="1" applyFont="1" applyNumberFormat="1">
      <alignment shrinkToFit="0" wrapText="1"/>
    </xf>
    <xf borderId="11" fillId="3" fontId="9" numFmtId="167" xfId="0" applyAlignment="1" applyBorder="1" applyFont="1" applyNumberFormat="1">
      <alignment horizontal="center" shrinkToFit="0" vertical="center" wrapText="1"/>
    </xf>
    <xf borderId="66" fillId="0" fontId="6" numFmtId="0" xfId="0" applyBorder="1" applyFont="1"/>
    <xf borderId="41" fillId="0" fontId="6" numFmtId="0" xfId="0" applyBorder="1" applyFont="1"/>
    <xf borderId="65" fillId="3" fontId="9" numFmtId="0" xfId="0" applyAlignment="1" applyBorder="1" applyFont="1">
      <alignment horizontal="center" shrinkToFit="0" vertical="top" wrapText="1"/>
    </xf>
    <xf borderId="67" fillId="0" fontId="6" numFmtId="0" xfId="0" applyBorder="1" applyFont="1"/>
    <xf borderId="1" fillId="0" fontId="17" numFmtId="173" xfId="0" applyAlignment="1" applyBorder="1" applyFont="1" applyNumberFormat="1">
      <alignment horizontal="center" shrinkToFit="0" vertical="center" wrapText="1"/>
    </xf>
    <xf borderId="10" fillId="0" fontId="6" numFmtId="0" xfId="0" applyBorder="1" applyFont="1"/>
    <xf borderId="68" fillId="0" fontId="6" numFmtId="0" xfId="0" applyBorder="1" applyFont="1"/>
    <xf borderId="0" fillId="0" fontId="19" numFmtId="0" xfId="0" applyFont="1"/>
    <xf borderId="1" fillId="0" fontId="17" numFmtId="165" xfId="0" applyAlignment="1" applyBorder="1" applyFont="1" applyNumberFormat="1">
      <alignment horizontal="center" shrinkToFit="0" vertical="center" wrapText="1"/>
    </xf>
    <xf borderId="1" fillId="3" fontId="14" numFmtId="9" xfId="0" applyAlignment="1" applyBorder="1" applyFont="1" applyNumberFormat="1">
      <alignment shrinkToFit="0" vertical="center" wrapText="1"/>
    </xf>
    <xf borderId="2" fillId="2" fontId="12" numFmtId="0" xfId="0" applyAlignment="1" applyBorder="1" applyFont="1">
      <alignment shrinkToFit="0" vertical="center" wrapText="1"/>
    </xf>
    <xf borderId="11" fillId="0" fontId="2" numFmtId="0" xfId="0" applyAlignment="1" applyBorder="1" applyFont="1">
      <alignment horizontal="center" shrinkToFit="0" wrapText="1"/>
    </xf>
    <xf borderId="0" fillId="0" fontId="14" numFmtId="0" xfId="0" applyAlignment="1" applyFont="1">
      <alignment horizontal="right" shrinkToFit="0" vertical="center" wrapText="1"/>
    </xf>
    <xf borderId="11" fillId="0" fontId="2" numFmtId="0" xfId="0" applyAlignment="1" applyBorder="1" applyFont="1">
      <alignment horizontal="center"/>
    </xf>
    <xf borderId="1" fillId="2" fontId="12" numFmtId="0" xfId="0" applyAlignment="1" applyBorder="1" applyFont="1">
      <alignment horizontal="center" shrinkToFit="0" vertical="center" wrapText="1"/>
    </xf>
    <xf borderId="0" fillId="0" fontId="17" numFmtId="165" xfId="0" applyFont="1" applyNumberFormat="1"/>
    <xf borderId="1" fillId="0" fontId="14" numFmtId="0" xfId="0" applyAlignment="1" applyBorder="1" applyFont="1">
      <alignment horizontal="right" shrinkToFit="0" vertical="center" wrapText="1"/>
    </xf>
    <xf borderId="1" fillId="2" fontId="5" numFmtId="0" xfId="0" applyAlignment="1" applyBorder="1" applyFont="1">
      <alignment shrinkToFit="0" vertical="center" wrapText="1"/>
    </xf>
    <xf borderId="25" fillId="2" fontId="5" numFmtId="0" xfId="0" applyAlignment="1" applyBorder="1" applyFont="1">
      <alignment horizontal="center" shrinkToFit="0" vertical="center" wrapText="1"/>
    </xf>
    <xf borderId="69" fillId="10" fontId="17" numFmtId="0" xfId="0" applyAlignment="1" applyBorder="1" applyFont="1">
      <alignment shrinkToFit="0" wrapText="1"/>
    </xf>
    <xf borderId="2" fillId="10" fontId="17" numFmtId="0" xfId="0" applyAlignment="1" applyBorder="1" applyFont="1">
      <alignment shrinkToFit="0" wrapText="1"/>
    </xf>
    <xf borderId="11" fillId="2" fontId="14" numFmtId="0" xfId="0" applyAlignment="1" applyBorder="1" applyFont="1">
      <alignment horizontal="center" shrinkToFit="0" vertical="center" wrapText="1"/>
    </xf>
    <xf borderId="70" fillId="2" fontId="14" numFmtId="0" xfId="0" applyAlignment="1" applyBorder="1" applyFont="1">
      <alignment horizontal="center" shrinkToFit="0" vertical="center" wrapText="1"/>
    </xf>
    <xf borderId="11" fillId="10" fontId="2" numFmtId="0" xfId="0" applyAlignment="1" applyBorder="1" applyFont="1">
      <alignment horizontal="left" shrinkToFit="0" vertical="top" wrapText="1"/>
    </xf>
    <xf borderId="25" fillId="7" fontId="17" numFmtId="0" xfId="0" applyAlignment="1" applyBorder="1" applyFont="1">
      <alignment horizontal="center" shrinkToFit="0" vertical="center" wrapText="1"/>
    </xf>
    <xf borderId="71" fillId="0" fontId="6" numFmtId="0" xfId="0" applyBorder="1" applyFont="1"/>
    <xf borderId="11" fillId="2" fontId="18" numFmtId="0" xfId="0" applyAlignment="1" applyBorder="1" applyFont="1">
      <alignment horizontal="left" shrinkToFit="0" vertical="top" wrapText="1"/>
    </xf>
    <xf borderId="11" fillId="10" fontId="18" numFmtId="0" xfId="0" applyAlignment="1" applyBorder="1" applyFont="1">
      <alignment horizontal="left" shrinkToFit="0" vertical="top" wrapText="1"/>
    </xf>
    <xf borderId="70" fillId="2" fontId="18" numFmtId="0" xfId="0" applyAlignment="1" applyBorder="1" applyFont="1">
      <alignment horizontal="left" shrinkToFit="0" vertical="top" wrapText="1"/>
    </xf>
    <xf borderId="44" fillId="0" fontId="6" numFmtId="0" xfId="0" applyBorder="1" applyFont="1"/>
    <xf borderId="1" fillId="0" fontId="14" numFmtId="0" xfId="0" applyAlignment="1" applyBorder="1" applyFont="1">
      <alignment horizontal="center" shrinkToFit="0" wrapText="1"/>
    </xf>
    <xf borderId="1" fillId="3" fontId="14" numFmtId="164"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72" fillId="10" fontId="18" numFmtId="0" xfId="0" applyAlignment="1" applyBorder="1" applyFont="1">
      <alignment horizontal="left" shrinkToFit="0" vertical="top" wrapText="0"/>
    </xf>
    <xf borderId="73" fillId="10" fontId="18" numFmtId="0" xfId="0" applyAlignment="1" applyBorder="1" applyFont="1">
      <alignment horizontal="left" shrinkToFit="0" vertical="top" wrapText="1"/>
    </xf>
    <xf borderId="74" fillId="10" fontId="18" numFmtId="0" xfId="0" applyAlignment="1" applyBorder="1" applyFont="1">
      <alignment horizontal="left" shrinkToFit="0" vertical="top" wrapText="1"/>
    </xf>
    <xf borderId="1" fillId="3" fontId="12" numFmtId="0" xfId="0" applyAlignment="1" applyBorder="1" applyFont="1">
      <alignment horizontal="center" shrinkToFit="0" vertical="center" wrapText="1"/>
    </xf>
    <xf borderId="75" fillId="10" fontId="18" numFmtId="0" xfId="0" applyAlignment="1" applyBorder="1" applyFont="1">
      <alignment horizontal="left" shrinkToFit="0" vertical="top" wrapText="0"/>
    </xf>
    <xf borderId="2" fillId="10" fontId="18" numFmtId="0" xfId="0" applyAlignment="1" applyBorder="1" applyFont="1">
      <alignment horizontal="left" shrinkToFit="0" vertical="top" wrapText="1"/>
    </xf>
    <xf borderId="76" fillId="10" fontId="18" numFmtId="0" xfId="0" applyAlignment="1" applyBorder="1" applyFont="1">
      <alignment horizontal="left" shrinkToFit="0" vertical="top" wrapText="1"/>
    </xf>
    <xf borderId="69" fillId="10" fontId="18" numFmtId="0" xfId="0" applyAlignment="1" applyBorder="1" applyFont="1">
      <alignment horizontal="left" shrinkToFit="0" vertical="top" wrapText="1"/>
    </xf>
    <xf borderId="77" fillId="10" fontId="18" numFmtId="0" xfId="0" applyAlignment="1" applyBorder="1" applyFont="1">
      <alignment horizontal="left" shrinkToFit="0" vertical="top" wrapText="1"/>
    </xf>
    <xf borderId="78" fillId="10" fontId="18" numFmtId="0" xfId="0" applyAlignment="1" applyBorder="1" applyFont="1">
      <alignment horizontal="left" shrinkToFit="0" vertical="top" wrapText="1"/>
    </xf>
    <xf borderId="27" fillId="0" fontId="12" numFmtId="0" xfId="0" applyAlignment="1" applyBorder="1" applyFont="1">
      <alignment shrinkToFit="0" vertical="center" wrapText="1"/>
    </xf>
    <xf borderId="1" fillId="0" fontId="12" numFmtId="0" xfId="0" applyAlignment="1" applyBorder="1" applyFont="1">
      <alignment horizontal="center" shrinkToFit="0" vertical="center" wrapText="1"/>
    </xf>
    <xf borderId="1" fillId="3" fontId="14" numFmtId="0" xfId="0" applyAlignment="1" applyBorder="1" applyFont="1">
      <alignment shrinkToFit="0" vertical="center" wrapText="1"/>
    </xf>
    <xf borderId="50" fillId="3" fontId="14" numFmtId="0" xfId="0" applyAlignment="1" applyBorder="1" applyFont="1">
      <alignment horizontal="right" shrinkToFit="0" wrapText="1"/>
    </xf>
    <xf borderId="79" fillId="0" fontId="6" numFmtId="0" xfId="0" applyBorder="1" applyFont="1"/>
    <xf borderId="39" fillId="3" fontId="14" numFmtId="167" xfId="0" applyAlignment="1" applyBorder="1" applyFont="1" applyNumberFormat="1">
      <alignment shrinkToFit="0" vertical="center" wrapText="1"/>
    </xf>
    <xf borderId="31" fillId="10" fontId="17" numFmtId="0" xfId="0" applyBorder="1" applyFont="1"/>
    <xf borderId="32" fillId="10" fontId="17" numFmtId="0" xfId="0" applyBorder="1" applyFont="1"/>
    <xf borderId="35" fillId="10" fontId="17" numFmtId="0" xfId="0" applyBorder="1" applyFont="1"/>
    <xf borderId="11" fillId="10" fontId="20" numFmtId="0" xfId="0" applyAlignment="1" applyBorder="1" applyFont="1">
      <alignment horizontal="center" vertical="top"/>
    </xf>
    <xf borderId="80" fillId="2" fontId="18" numFmtId="0" xfId="0" applyAlignment="1" applyBorder="1" applyFont="1">
      <alignment horizontal="left" shrinkToFit="0" vertical="top" wrapText="1"/>
    </xf>
    <xf borderId="81" fillId="0" fontId="6" numFmtId="0" xfId="0" applyBorder="1" applyFont="1"/>
    <xf borderId="82" fillId="0" fontId="6" numFmtId="0" xfId="0" applyBorder="1" applyFont="1"/>
    <xf borderId="25" fillId="2" fontId="16" numFmtId="0" xfId="0" applyAlignment="1" applyBorder="1" applyFont="1">
      <alignment horizontal="left" shrinkToFit="0" vertical="center" wrapText="1"/>
    </xf>
    <xf borderId="11" fillId="2" fontId="17" numFmtId="0" xfId="0" applyAlignment="1" applyBorder="1" applyFont="1">
      <alignment horizontal="center" shrinkToFit="0" vertical="center" wrapText="1"/>
    </xf>
    <xf borderId="70" fillId="2" fontId="17" numFmtId="0" xfId="0" applyAlignment="1" applyBorder="1" applyFont="1">
      <alignment horizontal="center" shrinkToFit="0" vertical="center" wrapText="1"/>
    </xf>
    <xf borderId="1" fillId="2" fontId="17" numFmtId="0" xfId="0" applyAlignment="1" applyBorder="1" applyFont="1">
      <alignment horizontal="center" shrinkToFit="0" vertical="center" wrapText="1"/>
    </xf>
    <xf borderId="1" fillId="2" fontId="17" numFmtId="0" xfId="0" applyAlignment="1" applyBorder="1" applyFont="1">
      <alignment horizontal="center" shrinkToFit="0" textRotation="90" vertical="center" wrapText="1"/>
    </xf>
    <xf borderId="62" fillId="2" fontId="17" numFmtId="0" xfId="0" applyAlignment="1" applyBorder="1" applyFont="1">
      <alignment horizontal="center" shrinkToFit="0" vertical="center" wrapText="1"/>
    </xf>
    <xf borderId="1" fillId="2" fontId="16" numFmtId="0" xfId="0" applyAlignment="1" applyBorder="1" applyFont="1">
      <alignment horizontal="left" shrinkToFit="0" vertical="center" wrapText="1"/>
    </xf>
    <xf borderId="1" fillId="6" fontId="17" numFmtId="0" xfId="0" applyAlignment="1" applyBorder="1" applyFont="1">
      <alignment horizontal="center" shrinkToFit="0" vertical="center" wrapText="1"/>
    </xf>
    <xf borderId="70" fillId="2" fontId="17" numFmtId="0" xfId="0" applyAlignment="1" applyBorder="1" applyFont="1">
      <alignment horizontal="center" shrinkToFit="0" textRotation="90" vertical="center" wrapText="1"/>
    </xf>
    <xf borderId="0" fillId="0" fontId="17" numFmtId="0" xfId="0" applyAlignment="1" applyFont="1">
      <alignment shrinkToFit="0" vertical="center" wrapText="1"/>
    </xf>
    <xf borderId="70" fillId="2" fontId="17" numFmtId="0" xfId="0" applyAlignment="1" applyBorder="1" applyFont="1">
      <alignment shrinkToFit="0" vertical="center" wrapText="1"/>
    </xf>
    <xf borderId="70" fillId="6" fontId="17" numFmtId="0" xfId="0" applyAlignment="1" applyBorder="1" applyFont="1">
      <alignment horizontal="center" shrinkToFit="0" vertical="center" wrapText="1"/>
    </xf>
    <xf borderId="1" fillId="6" fontId="17" numFmtId="0" xfId="0" applyAlignment="1" applyBorder="1" applyFont="1">
      <alignment shrinkToFit="0" vertical="center" wrapText="1"/>
    </xf>
    <xf borderId="1" fillId="3" fontId="14" numFmtId="0" xfId="0" applyAlignment="1" applyBorder="1" applyFont="1">
      <alignment horizontal="center" shrinkToFit="0" vertical="center" wrapText="1"/>
    </xf>
    <xf borderId="1" fillId="3" fontId="14" numFmtId="2" xfId="0" applyAlignment="1" applyBorder="1" applyFont="1" applyNumberFormat="1">
      <alignment horizontal="center" shrinkToFit="0" vertical="center" wrapText="1"/>
    </xf>
    <xf borderId="1" fillId="0" fontId="17" numFmtId="0" xfId="0" applyAlignment="1" applyBorder="1" applyFont="1">
      <alignment horizontal="center" shrinkToFit="0" wrapText="1"/>
    </xf>
    <xf borderId="1" fillId="0" fontId="17" numFmtId="9" xfId="0" applyAlignment="1" applyBorder="1" applyFont="1" applyNumberFormat="1">
      <alignment horizontal="center" shrinkToFit="0" wrapText="1"/>
    </xf>
    <xf borderId="1" fillId="0" fontId="17" numFmtId="0" xfId="0" applyAlignment="1" applyBorder="1" applyFont="1">
      <alignment shrinkToFit="0" wrapText="1"/>
    </xf>
    <xf borderId="1" fillId="0" fontId="17" numFmtId="0" xfId="0" applyAlignment="1" applyBorder="1" applyFont="1">
      <alignment horizontal="right" shrinkToFit="0" wrapText="1"/>
    </xf>
    <xf borderId="70" fillId="0" fontId="17" numFmtId="0" xfId="0" applyAlignment="1" applyBorder="1" applyFont="1">
      <alignment shrinkToFit="0" vertical="center" wrapText="1"/>
    </xf>
    <xf borderId="70" fillId="0" fontId="17" numFmtId="0" xfId="0" applyAlignment="1" applyBorder="1" applyFont="1">
      <alignment horizontal="center" shrinkToFit="0" vertical="center" wrapText="1"/>
    </xf>
    <xf borderId="1" fillId="0" fontId="17" numFmtId="9" xfId="0" applyAlignment="1" applyBorder="1" applyFont="1" applyNumberFormat="1">
      <alignment horizontal="center" shrinkToFit="0" vertical="center" wrapText="1"/>
    </xf>
    <xf borderId="1" fillId="5" fontId="2" numFmtId="0" xfId="0" applyBorder="1" applyFont="1"/>
    <xf borderId="1" fillId="5" fontId="2" numFmtId="9" xfId="0" applyBorder="1" applyFont="1" applyNumberFormat="1"/>
    <xf borderId="1" fillId="0" fontId="2" numFmtId="9" xfId="0" applyBorder="1" applyFont="1" applyNumberFormat="1"/>
    <xf borderId="0" fillId="0" fontId="21" numFmtId="0" xfId="0" applyAlignment="1" applyFont="1">
      <alignment horizontal="center" shrinkToFit="0" vertical="center" wrapText="1"/>
    </xf>
    <xf borderId="1" fillId="2" fontId="17" numFmtId="0" xfId="0" applyAlignment="1" applyBorder="1" applyFont="1">
      <alignment shrinkToFit="0" vertical="top" wrapText="1"/>
    </xf>
    <xf borderId="1" fillId="3" fontId="17" numFmtId="9" xfId="0" applyAlignment="1" applyBorder="1" applyFont="1" applyNumberFormat="1">
      <alignment shrinkToFit="0" vertical="top" wrapText="1"/>
    </xf>
    <xf borderId="0" fillId="0" fontId="2" numFmtId="9" xfId="0" applyFont="1" applyNumberFormat="1"/>
    <xf borderId="0" fillId="0" fontId="2" numFmtId="174" xfId="0" applyFont="1" applyNumberFormat="1"/>
    <xf borderId="1" fillId="0" fontId="17" numFmtId="174" xfId="0" applyAlignment="1" applyBorder="1" applyFont="1" applyNumberFormat="1">
      <alignment horizontal="center" shrinkToFit="0" vertical="center" wrapText="1"/>
    </xf>
    <xf borderId="62" fillId="6" fontId="17" numFmtId="0" xfId="0" applyAlignment="1" applyBorder="1" applyFont="1">
      <alignment horizontal="center" shrinkToFit="0" vertical="center" wrapText="1"/>
    </xf>
    <xf borderId="25" fillId="10" fontId="17" numFmtId="0" xfId="0" applyAlignment="1" applyBorder="1" applyFont="1">
      <alignment horizontal="left" shrinkToFit="0" vertical="center" wrapText="1"/>
    </xf>
    <xf borderId="25" fillId="6" fontId="17" numFmtId="0" xfId="0" applyAlignment="1" applyBorder="1" applyFont="1">
      <alignment horizontal="center" shrinkToFit="0" vertical="center" wrapText="1"/>
    </xf>
    <xf borderId="11" fillId="0" fontId="17" numFmtId="0" xfId="0" applyAlignment="1" applyBorder="1" applyFont="1">
      <alignment horizontal="center" shrinkToFit="0" vertical="top" wrapText="1"/>
    </xf>
    <xf borderId="0" fillId="0" fontId="2" numFmtId="2" xfId="0" applyFont="1" applyNumberFormat="1"/>
    <xf borderId="1" fillId="2" fontId="16" numFmtId="0" xfId="0" applyAlignment="1" applyBorder="1" applyFont="1">
      <alignment shrinkToFit="0" wrapText="1"/>
    </xf>
    <xf borderId="25" fillId="2" fontId="16" numFmtId="0" xfId="0" applyAlignment="1" applyBorder="1" applyFont="1">
      <alignment horizontal="left" shrinkToFit="0" wrapText="1"/>
    </xf>
    <xf quotePrefix="1" borderId="70" fillId="2" fontId="17" numFmtId="0" xfId="0" applyAlignment="1" applyBorder="1" applyFont="1">
      <alignment horizontal="center" shrinkToFit="0" vertical="center" wrapText="1"/>
    </xf>
    <xf borderId="39" fillId="2" fontId="17" numFmtId="2" xfId="0" applyAlignment="1" applyBorder="1" applyFont="1" applyNumberFormat="1">
      <alignment horizontal="center" shrinkToFit="0" vertical="center" wrapText="1"/>
    </xf>
    <xf borderId="80" fillId="2" fontId="17" numFmtId="0" xfId="0" applyAlignment="1" applyBorder="1" applyFont="1">
      <alignment horizontal="center" shrinkToFit="0" vertical="center" wrapText="1"/>
    </xf>
    <xf borderId="83" fillId="2" fontId="17" numFmtId="0" xfId="0" applyAlignment="1" applyBorder="1" applyFont="1">
      <alignment horizontal="center" shrinkToFit="0" vertical="center" wrapText="1"/>
    </xf>
    <xf borderId="62" fillId="2" fontId="17" numFmtId="2" xfId="0" applyAlignment="1" applyBorder="1" applyFont="1" applyNumberFormat="1">
      <alignment horizontal="center" shrinkToFit="0" vertical="center" wrapText="1"/>
    </xf>
    <xf borderId="84" fillId="0" fontId="6" numFmtId="0" xfId="0" applyBorder="1" applyFont="1"/>
    <xf borderId="1" fillId="6" fontId="17" numFmtId="3" xfId="0" applyAlignment="1" applyBorder="1" applyFont="1" applyNumberFormat="1">
      <alignment horizontal="center" shrinkToFit="0" vertical="center" wrapText="1"/>
    </xf>
    <xf borderId="1" fillId="3" fontId="17" numFmtId="2" xfId="0" applyAlignment="1" applyBorder="1" applyFont="1" applyNumberFormat="1">
      <alignment horizontal="center" shrinkToFit="0" vertical="center" wrapText="1"/>
    </xf>
    <xf borderId="62" fillId="10" fontId="17" numFmtId="4" xfId="0" applyAlignment="1" applyBorder="1" applyFont="1" applyNumberFormat="1">
      <alignment horizontal="center" shrinkToFit="0" vertical="center" wrapText="1"/>
    </xf>
    <xf borderId="1" fillId="0" fontId="17" numFmtId="2" xfId="0" applyAlignment="1" applyBorder="1" applyFont="1" applyNumberFormat="1">
      <alignment horizontal="center" shrinkToFit="0" vertical="center" wrapText="1"/>
    </xf>
    <xf borderId="1" fillId="10" fontId="17" numFmtId="4" xfId="0" applyAlignment="1" applyBorder="1" applyFont="1" applyNumberFormat="1">
      <alignment horizontal="center" shrinkToFit="0" vertical="center" wrapText="1"/>
    </xf>
    <xf borderId="85" fillId="2" fontId="17" numFmtId="0" xfId="0" applyAlignment="1" applyBorder="1" applyFont="1">
      <alignment horizontal="center" shrinkToFit="0" vertical="center" wrapText="1"/>
    </xf>
    <xf borderId="62" fillId="2" fontId="17" numFmtId="0" xfId="0" applyAlignment="1" applyBorder="1" applyFont="1">
      <alignment shrinkToFit="0" vertical="center" wrapText="1"/>
    </xf>
    <xf borderId="62" fillId="6" fontId="17" numFmtId="0" xfId="0" applyAlignment="1" applyBorder="1" applyFont="1">
      <alignment shrinkToFit="0" vertical="center" wrapText="1"/>
    </xf>
    <xf borderId="1" fillId="2" fontId="22" numFmtId="0" xfId="0" applyAlignment="1" applyBorder="1" applyFont="1">
      <alignment shrinkToFit="0" vertical="center" wrapText="1"/>
    </xf>
    <xf borderId="44" fillId="0" fontId="17" numFmtId="0" xfId="0" applyAlignment="1" applyBorder="1" applyFont="1">
      <alignment horizontal="center" shrinkToFit="0" vertical="center" wrapText="1"/>
    </xf>
    <xf borderId="25" fillId="2" fontId="16" numFmtId="0" xfId="0" applyAlignment="1" applyBorder="1" applyFont="1">
      <alignment shrinkToFit="0" vertical="center" wrapText="1"/>
    </xf>
    <xf borderId="86" fillId="0" fontId="6" numFmtId="0" xfId="0" applyBorder="1" applyFont="1"/>
    <xf borderId="25" fillId="2" fontId="22" numFmtId="0" xfId="0" applyAlignment="1" applyBorder="1" applyFont="1">
      <alignment horizontal="center" shrinkToFit="0" vertical="center" wrapText="1"/>
    </xf>
    <xf borderId="1" fillId="3" fontId="17" numFmtId="0" xfId="0" applyAlignment="1" applyBorder="1" applyFont="1">
      <alignment shrinkToFit="0" vertical="center" wrapText="1"/>
    </xf>
    <xf borderId="1" fillId="3" fontId="17" numFmtId="1" xfId="0" applyAlignment="1" applyBorder="1" applyFont="1" applyNumberFormat="1">
      <alignment shrinkToFit="0" vertical="center" wrapText="1"/>
    </xf>
    <xf borderId="1" fillId="3" fontId="16" numFmtId="1" xfId="0" applyAlignment="1" applyBorder="1" applyFont="1" applyNumberFormat="1">
      <alignment shrinkToFit="0" vertical="center" wrapText="1"/>
    </xf>
    <xf borderId="1" fillId="3" fontId="16" numFmtId="0" xfId="0" applyAlignment="1" applyBorder="1" applyFont="1">
      <alignment shrinkToFit="0" vertical="center" wrapText="1"/>
    </xf>
    <xf borderId="0" fillId="0" fontId="23" numFmtId="0" xfId="0" applyFont="1"/>
    <xf borderId="1" fillId="6" fontId="5" numFmtId="0" xfId="0" applyAlignment="1" applyBorder="1" applyFont="1">
      <alignment horizontal="center" vertical="center"/>
    </xf>
    <xf borderId="25" fillId="2" fontId="7" numFmtId="0" xfId="0" applyAlignment="1" applyBorder="1" applyFont="1">
      <alignment horizontal="center" shrinkToFit="0" vertical="center" wrapText="1"/>
    </xf>
    <xf borderId="1" fillId="2" fontId="5" numFmtId="0" xfId="0" applyAlignment="1" applyBorder="1" applyFont="1">
      <alignment horizontal="center" vertical="center"/>
    </xf>
    <xf borderId="0" fillId="0" fontId="7" numFmtId="0" xfId="0" applyFont="1"/>
    <xf borderId="31" fillId="2" fontId="17" numFmtId="0" xfId="0" applyAlignment="1" applyBorder="1" applyFont="1">
      <alignment shrinkToFit="0" vertical="center" wrapText="1"/>
    </xf>
    <xf borderId="1" fillId="2" fontId="17" numFmtId="0" xfId="0" applyAlignment="1" applyBorder="1" applyFont="1">
      <alignment horizontal="center" shrinkToFit="0" wrapText="1"/>
    </xf>
    <xf borderId="25" fillId="2" fontId="17" numFmtId="0" xfId="0" applyAlignment="1" applyBorder="1" applyFont="1">
      <alignment horizontal="right" shrinkToFit="0" vertical="center" wrapText="1"/>
    </xf>
    <xf borderId="1" fillId="0" fontId="17" numFmtId="0" xfId="0" applyAlignment="1" applyBorder="1" applyFont="1">
      <alignment horizontal="center" vertical="center"/>
    </xf>
    <xf borderId="1" fillId="3" fontId="17" numFmtId="0" xfId="0" applyAlignment="1" applyBorder="1" applyFont="1">
      <alignment horizontal="center" vertical="center"/>
    </xf>
    <xf borderId="31" fillId="3" fontId="17" numFmtId="2" xfId="0" applyAlignment="1" applyBorder="1" applyFont="1" applyNumberFormat="1">
      <alignment horizontal="center" vertical="center"/>
    </xf>
    <xf borderId="35" fillId="3" fontId="17" numFmtId="0" xfId="0" applyAlignment="1" applyBorder="1" applyFont="1">
      <alignment vertical="center"/>
    </xf>
    <xf borderId="1" fillId="2" fontId="24" numFmtId="0" xfId="0" applyAlignment="1" applyBorder="1" applyFont="1">
      <alignment horizontal="center" shrinkToFit="0" vertical="center" wrapText="1"/>
    </xf>
    <xf borderId="1" fillId="3" fontId="17" numFmtId="3" xfId="0" applyAlignment="1" applyBorder="1" applyFont="1" applyNumberFormat="1">
      <alignment shrinkToFit="0" vertical="center" wrapText="1"/>
    </xf>
    <xf borderId="1" fillId="2" fontId="24" numFmtId="0" xfId="0" applyAlignment="1" applyBorder="1" applyFont="1">
      <alignment shrinkToFit="0" vertical="center" wrapText="1"/>
    </xf>
    <xf borderId="1" fillId="3" fontId="24" numFmtId="2" xfId="0" applyAlignment="1" applyBorder="1" applyFont="1" applyNumberFormat="1">
      <alignment shrinkToFit="0" vertical="center" wrapText="1"/>
    </xf>
    <xf borderId="1" fillId="0" fontId="24" numFmtId="0" xfId="0" applyAlignment="1" applyBorder="1" applyFont="1">
      <alignment shrinkToFit="0" vertical="center" wrapText="1"/>
    </xf>
    <xf borderId="11" fillId="0" fontId="2" numFmtId="0" xfId="0" applyAlignment="1" applyBorder="1" applyFont="1">
      <alignment shrinkToFit="0" wrapText="1"/>
    </xf>
    <xf borderId="12" fillId="0" fontId="2" numFmtId="0" xfId="0" applyBorder="1" applyFont="1"/>
    <xf borderId="12" fillId="0" fontId="2" numFmtId="2" xfId="0" applyBorder="1" applyFont="1" applyNumberFormat="1"/>
    <xf borderId="13" fillId="0" fontId="2" numFmtId="0" xfId="0" applyBorder="1" applyFont="1"/>
    <xf borderId="14" fillId="0" fontId="2" numFmtId="0" xfId="0" applyAlignment="1" applyBorder="1" applyFont="1">
      <alignment shrinkToFit="0" wrapText="1"/>
    </xf>
    <xf borderId="15" fillId="0" fontId="2" numFmtId="0" xfId="0" applyBorder="1" applyFont="1"/>
    <xf borderId="16" fillId="0" fontId="2" numFmtId="0" xfId="0" applyAlignment="1" applyBorder="1" applyFont="1">
      <alignment shrinkToFit="0" wrapText="1"/>
    </xf>
    <xf borderId="17" fillId="0" fontId="2" numFmtId="0" xfId="0" applyBorder="1" applyFont="1"/>
    <xf borderId="17" fillId="0" fontId="2" numFmtId="2" xfId="0" applyBorder="1" applyFont="1" applyNumberFormat="1"/>
    <xf borderId="18" fillId="0" fontId="2" numFmtId="0" xfId="0" applyBorder="1" applyFont="1"/>
    <xf borderId="70" fillId="2" fontId="17" numFmtId="0" xfId="0" applyAlignment="1" applyBorder="1" applyFont="1">
      <alignment horizontal="center" shrinkToFit="0" wrapText="1"/>
    </xf>
    <xf borderId="87" fillId="0" fontId="6" numFmtId="0" xfId="0" applyBorder="1" applyFont="1"/>
    <xf borderId="88" fillId="2" fontId="17" numFmtId="0" xfId="0" applyAlignment="1" applyBorder="1" applyFont="1">
      <alignment horizontal="right" shrinkToFit="0" vertical="center" wrapText="1"/>
    </xf>
    <xf borderId="89" fillId="0" fontId="6" numFmtId="0" xfId="0" applyBorder="1" applyFont="1"/>
    <xf borderId="90" fillId="0" fontId="6" numFmtId="0" xfId="0" applyBorder="1" applyFont="1"/>
    <xf borderId="91" fillId="0" fontId="17" numFmtId="0" xfId="0" applyAlignment="1" applyBorder="1" applyFont="1">
      <alignment horizontal="center" vertical="center"/>
    </xf>
    <xf borderId="92" fillId="2" fontId="17" numFmtId="0" xfId="0" applyAlignment="1" applyBorder="1" applyFont="1">
      <alignment horizontal="center" shrinkToFit="0" vertical="center" wrapText="1"/>
    </xf>
    <xf borderId="23" fillId="2" fontId="17" numFmtId="0" xfId="0" applyAlignment="1" applyBorder="1" applyFont="1">
      <alignment horizontal="right" shrinkToFit="0" vertical="center" wrapText="1"/>
    </xf>
    <xf borderId="44" fillId="0" fontId="17" numFmtId="0" xfId="0" applyAlignment="1" applyBorder="1" applyFont="1">
      <alignment horizontal="center" vertical="center"/>
    </xf>
    <xf borderId="93" fillId="2" fontId="17" numFmtId="0" xfId="0" applyAlignment="1" applyBorder="1" applyFont="1">
      <alignment horizontal="right" shrinkToFit="0" vertical="center" wrapText="1"/>
    </xf>
    <xf borderId="94" fillId="0" fontId="6" numFmtId="0" xfId="0" applyBorder="1" applyFont="1"/>
    <xf borderId="0" fillId="0" fontId="7" numFmtId="2" xfId="0" applyAlignment="1" applyFont="1" applyNumberFormat="1">
      <alignment horizontal="center" vertical="center"/>
    </xf>
    <xf borderId="25" fillId="2" fontId="17" numFmtId="0" xfId="0" applyAlignment="1" applyBorder="1" applyFont="1">
      <alignment horizontal="center" shrinkToFit="0" wrapText="1"/>
    </xf>
    <xf borderId="1" fillId="2" fontId="17" numFmtId="0" xfId="0" applyAlignment="1" applyBorder="1" applyFont="1">
      <alignment horizontal="center"/>
    </xf>
    <xf borderId="1" fillId="2" fontId="17" numFmtId="0" xfId="0" applyAlignment="1" applyBorder="1" applyFont="1">
      <alignment horizontal="right"/>
    </xf>
    <xf borderId="25" fillId="3" fontId="17" numFmtId="2" xfId="0" applyAlignment="1" applyBorder="1" applyFont="1" applyNumberFormat="1">
      <alignment horizontal="center" shrinkToFit="0" wrapText="1"/>
    </xf>
    <xf borderId="31" fillId="3" fontId="17" numFmtId="1" xfId="0" applyAlignment="1" applyBorder="1" applyFont="1" applyNumberFormat="1">
      <alignment horizontal="center" vertical="center"/>
    </xf>
    <xf borderId="12" fillId="0" fontId="2" numFmtId="0" xfId="0" applyAlignment="1" applyBorder="1" applyFont="1">
      <alignment horizontal="center"/>
    </xf>
    <xf borderId="13" fillId="0" fontId="2" numFmtId="0" xfId="0" applyAlignment="1" applyBorder="1" applyFont="1">
      <alignment horizontal="center"/>
    </xf>
    <xf borderId="25" fillId="0" fontId="17" numFmtId="0" xfId="0" applyAlignment="1" applyBorder="1" applyFont="1">
      <alignment shrinkToFit="0" vertical="center" wrapText="1"/>
    </xf>
    <xf borderId="1" fillId="0" fontId="17" numFmtId="2" xfId="0" applyAlignment="1" applyBorder="1" applyFont="1" applyNumberFormat="1">
      <alignment shrinkToFit="0" vertical="center" wrapText="1"/>
    </xf>
    <xf borderId="1" fillId="2" fontId="16" numFmtId="0" xfId="0" applyAlignment="1" applyBorder="1" applyFont="1">
      <alignment vertical="center"/>
    </xf>
    <xf borderId="25" fillId="2" fontId="16" numFmtId="0" xfId="0" applyAlignment="1" applyBorder="1" applyFont="1">
      <alignment horizontal="center" vertical="center"/>
    </xf>
    <xf borderId="25" fillId="3" fontId="17" numFmtId="2" xfId="0" applyAlignment="1" applyBorder="1" applyFont="1" applyNumberFormat="1">
      <alignment horizontal="center" shrinkToFit="0" vertical="center" wrapText="1"/>
    </xf>
    <xf borderId="25" fillId="0" fontId="17" numFmtId="0" xfId="0" applyAlignment="1" applyBorder="1" applyFont="1">
      <alignment horizontal="center" shrinkToFit="0" wrapText="1"/>
    </xf>
    <xf borderId="1" fillId="2" fontId="17" numFmtId="0" xfId="0" applyAlignment="1" applyBorder="1" applyFont="1">
      <alignment horizontal="left" shrinkToFit="0" vertical="center" wrapText="1"/>
    </xf>
    <xf borderId="25" fillId="0" fontId="17" numFmtId="0" xfId="0" applyAlignment="1" applyBorder="1" applyFont="1">
      <alignment horizontal="center" shrinkToFit="0" vertical="center" wrapText="1"/>
    </xf>
    <xf borderId="1" fillId="0" fontId="17" numFmtId="3" xfId="0" applyAlignment="1" applyBorder="1" applyFont="1" applyNumberFormat="1">
      <alignment horizontal="right" shrinkToFit="0" wrapText="1"/>
    </xf>
    <xf borderId="1" fillId="0" fontId="17" numFmtId="2" xfId="0" applyAlignment="1" applyBorder="1" applyFont="1" applyNumberFormat="1">
      <alignment horizontal="right" shrinkToFit="0" wrapText="1"/>
    </xf>
    <xf borderId="95" fillId="2" fontId="10" numFmtId="0" xfId="0" applyAlignment="1" applyBorder="1" applyFont="1">
      <alignment horizontal="left" shrinkToFit="0" vertical="center" wrapText="1"/>
    </xf>
    <xf borderId="2" fillId="10" fontId="2" numFmtId="0" xfId="0" applyBorder="1" applyFont="1"/>
    <xf borderId="19" fillId="10" fontId="2" numFmtId="0" xfId="0" applyAlignment="1" applyBorder="1" applyFont="1">
      <alignment horizontal="left" shrinkToFit="0" vertical="top" wrapText="1"/>
    </xf>
    <xf borderId="25" fillId="0" fontId="1" numFmtId="0" xfId="0" applyBorder="1" applyFont="1"/>
    <xf borderId="96" fillId="0" fontId="6" numFmtId="0" xfId="0" applyBorder="1" applyFont="1"/>
    <xf borderId="25" fillId="2" fontId="2" numFmtId="0" xfId="0" applyBorder="1" applyFont="1"/>
    <xf borderId="25" fillId="3" fontId="2" numFmtId="0" xfId="0" applyBorder="1" applyFont="1"/>
    <xf borderId="0" fillId="0" fontId="13" numFmtId="0" xfId="0" applyFont="1"/>
    <xf borderId="25" fillId="4" fontId="2" numFmtId="0" xfId="0" applyBorder="1" applyFont="1"/>
    <xf borderId="25" fillId="5" fontId="2" numFmtId="0" xfId="0" applyBorder="1" applyFont="1"/>
    <xf borderId="70" fillId="2" fontId="25" numFmtId="0" xfId="0" applyAlignment="1" applyBorder="1" applyFont="1">
      <alignment horizontal="center" shrinkToFit="0" vertical="center" wrapText="1"/>
    </xf>
    <xf borderId="2" fillId="2" fontId="25" numFmtId="0" xfId="0" applyAlignment="1" applyBorder="1" applyFont="1">
      <alignment horizontal="center" shrinkToFit="0" vertical="center" wrapText="1"/>
    </xf>
    <xf borderId="25" fillId="6" fontId="2" numFmtId="0" xfId="0" applyBorder="1" applyFont="1"/>
    <xf borderId="2" fillId="10" fontId="2" numFmtId="0" xfId="0" applyAlignment="1" applyBorder="1" applyFont="1">
      <alignment horizontal="left" vertical="center"/>
    </xf>
    <xf borderId="25" fillId="7" fontId="2" numFmtId="0" xfId="0" applyBorder="1" applyFont="1"/>
    <xf borderId="1" fillId="8" fontId="17" numFmtId="0" xfId="0" applyAlignment="1" applyBorder="1" applyFont="1">
      <alignment horizontal="center" shrinkToFit="0" vertical="center" wrapText="1"/>
    </xf>
    <xf borderId="25" fillId="8" fontId="2" numFmtId="0" xfId="0" applyAlignment="1" applyBorder="1" applyFont="1">
      <alignment vertical="center"/>
    </xf>
    <xf borderId="25" fillId="0" fontId="2" numFmtId="0" xfId="0" applyBorder="1" applyFont="1"/>
    <xf borderId="31" fillId="2" fontId="16" numFmtId="0" xfId="0" applyAlignment="1" applyBorder="1" applyFont="1">
      <alignment vertical="center"/>
    </xf>
    <xf borderId="2" fillId="3" fontId="17" numFmtId="0" xfId="0" applyAlignment="1" applyBorder="1" applyFont="1">
      <alignment horizontal="center" shrinkToFit="0" vertical="center" wrapText="1"/>
    </xf>
    <xf borderId="11" fillId="2" fontId="17" numFmtId="0" xfId="0" applyAlignment="1" applyBorder="1" applyFont="1">
      <alignment horizontal="center" vertical="center"/>
    </xf>
    <xf borderId="11" fillId="3" fontId="17" numFmtId="0" xfId="0" applyAlignment="1" applyBorder="1" applyFont="1">
      <alignment horizontal="center" shrinkToFit="0" vertical="center" wrapText="1"/>
    </xf>
    <xf borderId="1" fillId="10" fontId="17" numFmtId="0" xfId="0" applyAlignment="1" applyBorder="1" applyFont="1">
      <alignment horizontal="center" shrinkToFit="0" vertical="center" wrapText="1"/>
    </xf>
    <xf borderId="11" fillId="3" fontId="17" numFmtId="2" xfId="0" applyAlignment="1" applyBorder="1" applyFont="1" applyNumberFormat="1">
      <alignment horizontal="center" shrinkToFit="0" vertical="center" wrapText="1"/>
    </xf>
    <xf borderId="50" fillId="3" fontId="17" numFmtId="2" xfId="0" applyAlignment="1" applyBorder="1" applyFont="1" applyNumberFormat="1">
      <alignment horizontal="center" shrinkToFit="0" vertical="center" wrapText="1"/>
    </xf>
    <xf borderId="25" fillId="3" fontId="17" numFmtId="0" xfId="0" applyAlignment="1" applyBorder="1" applyFont="1">
      <alignment horizontal="center" shrinkToFit="0" vertical="center" wrapText="1"/>
    </xf>
    <xf borderId="25" fillId="11" fontId="17" numFmtId="0" xfId="0" applyAlignment="1" applyBorder="1" applyFill="1" applyFont="1">
      <alignment horizontal="center" shrinkToFit="0" wrapText="1"/>
    </xf>
    <xf borderId="1" fillId="12" fontId="17" numFmtId="0" xfId="0" applyAlignment="1" applyBorder="1" applyFill="1" applyFont="1">
      <alignment horizontal="center" shrinkToFit="0" vertical="center" wrapText="1"/>
    </xf>
    <xf borderId="25" fillId="12" fontId="17" numFmtId="0" xfId="0" applyAlignment="1" applyBorder="1" applyFont="1">
      <alignment horizontal="center" shrinkToFit="0" vertical="center" wrapText="1"/>
    </xf>
    <xf borderId="50" fillId="2" fontId="17" numFmtId="0" xfId="0" applyAlignment="1" applyBorder="1" applyFont="1">
      <alignment horizontal="center" shrinkToFit="0" vertical="center" wrapText="1"/>
    </xf>
    <xf borderId="50" fillId="11" fontId="17" numFmtId="0" xfId="0" applyAlignment="1" applyBorder="1" applyFont="1">
      <alignment horizontal="center" shrinkToFit="0" wrapText="1"/>
    </xf>
    <xf borderId="39" fillId="12" fontId="17" numFmtId="0" xfId="0" applyAlignment="1" applyBorder="1" applyFont="1">
      <alignment horizontal="center" shrinkToFit="0" vertical="center" wrapText="1"/>
    </xf>
    <xf borderId="39" fillId="6" fontId="17" numFmtId="0" xfId="0" applyAlignment="1" applyBorder="1" applyFont="1">
      <alignment horizontal="center" shrinkToFit="0" vertical="center" wrapText="1"/>
    </xf>
    <xf borderId="1" fillId="13" fontId="17" numFmtId="0" xfId="0" applyAlignment="1" applyBorder="1" applyFill="1" applyFont="1">
      <alignment horizontal="center" shrinkToFit="0" vertical="center" wrapText="1"/>
    </xf>
    <xf borderId="25" fillId="10" fontId="17" numFmtId="0" xfId="0" applyAlignment="1" applyBorder="1" applyFont="1">
      <alignment horizontal="center" shrinkToFit="0" vertical="center" wrapText="1"/>
    </xf>
    <xf borderId="11" fillId="0" fontId="17" numFmtId="0" xfId="0" applyAlignment="1" applyBorder="1" applyFont="1">
      <alignment horizontal="center" shrinkToFit="0" vertical="center" wrapText="1"/>
    </xf>
    <xf borderId="25" fillId="14" fontId="17" numFmtId="0" xfId="0" applyAlignment="1" applyBorder="1" applyFill="1" applyFont="1">
      <alignment horizontal="center" shrinkToFit="0" vertical="center" wrapText="1"/>
    </xf>
    <xf borderId="0" fillId="0" fontId="2" numFmtId="170" xfId="0" applyFont="1" applyNumberFormat="1"/>
    <xf borderId="25" fillId="11" fontId="17" numFmtId="0" xfId="0" applyAlignment="1" applyBorder="1" applyFont="1">
      <alignment horizontal="center" shrinkToFit="0" vertical="center" wrapText="1"/>
    </xf>
    <xf borderId="97" fillId="15" fontId="26" numFmtId="0" xfId="0" applyBorder="1" applyFill="1" applyFont="1"/>
    <xf borderId="72" fillId="16" fontId="27" numFmtId="0" xfId="0" applyBorder="1" applyFill="1" applyFont="1"/>
    <xf borderId="73" fillId="17" fontId="2" numFmtId="0" xfId="0" applyBorder="1" applyFill="1" applyFont="1"/>
    <xf borderId="73" fillId="6" fontId="2" numFmtId="0" xfId="0" applyBorder="1" applyFont="1"/>
    <xf borderId="74" fillId="6" fontId="2" numFmtId="0" xfId="0" applyBorder="1" applyFont="1"/>
    <xf borderId="0" fillId="0" fontId="25" numFmtId="0" xfId="0" applyFont="1"/>
    <xf borderId="14" fillId="0" fontId="2" numFmtId="0" xfId="0" applyBorder="1" applyFont="1"/>
    <xf borderId="98" fillId="18" fontId="25" numFmtId="0" xfId="0" applyAlignment="1" applyBorder="1" applyFill="1" applyFont="1">
      <alignment horizontal="center"/>
    </xf>
    <xf borderId="38" fillId="18" fontId="25" numFmtId="0" xfId="0" applyAlignment="1" applyBorder="1" applyFont="1">
      <alignment horizontal="center"/>
    </xf>
    <xf borderId="40" fillId="18" fontId="25" numFmtId="0" xfId="0" applyAlignment="1" applyBorder="1" applyFont="1">
      <alignment horizontal="center"/>
    </xf>
    <xf borderId="2" fillId="18" fontId="25" numFmtId="0" xfId="0" applyAlignment="1" applyBorder="1" applyFont="1">
      <alignment horizontal="center"/>
    </xf>
    <xf borderId="67" fillId="0" fontId="2" numFmtId="0" xfId="0" applyBorder="1" applyFont="1"/>
    <xf borderId="9" fillId="0" fontId="2" numFmtId="0" xfId="0" applyBorder="1" applyFont="1"/>
    <xf borderId="14" fillId="0" fontId="2" numFmtId="0" xfId="0" applyAlignment="1" applyBorder="1" applyFont="1">
      <alignment horizontal="center" shrinkToFit="0" vertical="top" wrapText="1"/>
    </xf>
    <xf borderId="15" fillId="0" fontId="2" numFmtId="0" xfId="0" applyAlignment="1" applyBorder="1" applyFont="1">
      <alignment shrinkToFit="0" wrapText="1"/>
    </xf>
    <xf borderId="16" fillId="0" fontId="2" numFmtId="0" xfId="0" applyBorder="1" applyFont="1"/>
    <xf borderId="0" fillId="0" fontId="18" numFmtId="0" xfId="0" applyFont="1"/>
    <xf borderId="77" fillId="10" fontId="17" numFmtId="0" xfId="0" applyAlignment="1" applyBorder="1" applyFont="1">
      <alignment vertical="center"/>
    </xf>
    <xf borderId="62" fillId="2" fontId="16" numFmtId="0" xfId="0" applyAlignment="1" applyBorder="1" applyFont="1">
      <alignment vertical="center"/>
    </xf>
    <xf borderId="95" fillId="2" fontId="16" numFmtId="0" xfId="0" applyAlignment="1" applyBorder="1" applyFont="1">
      <alignment horizontal="center" vertical="center"/>
    </xf>
    <xf borderId="39" fillId="2" fontId="17" numFmtId="0" xfId="0" applyAlignment="1" applyBorder="1" applyFont="1">
      <alignment horizontal="center" vertical="center"/>
    </xf>
    <xf borderId="1" fillId="2" fontId="17" numFmtId="0" xfId="0" applyAlignment="1" applyBorder="1" applyFont="1">
      <alignment horizontal="center" vertical="center"/>
    </xf>
    <xf borderId="10" fillId="0" fontId="2" numFmtId="0" xfId="0" applyBorder="1" applyFont="1"/>
    <xf borderId="31" fillId="2" fontId="17" numFmtId="0" xfId="0" applyAlignment="1" applyBorder="1" applyFont="1">
      <alignment horizontal="center" shrinkToFit="0" vertical="center" wrapText="1"/>
    </xf>
    <xf borderId="68" fillId="0" fontId="2" numFmtId="0" xfId="0" applyBorder="1" applyFont="1"/>
    <xf borderId="8" fillId="0" fontId="2" numFmtId="0" xfId="0" applyBorder="1" applyFont="1"/>
    <xf borderId="0" fillId="0" fontId="25" numFmtId="0" xfId="0" applyAlignment="1" applyFont="1">
      <alignment horizontal="center"/>
    </xf>
    <xf borderId="0" fillId="0" fontId="2" numFmtId="171" xfId="0" applyFont="1" applyNumberFormat="1"/>
    <xf borderId="72" fillId="2" fontId="17" numFmtId="0" xfId="0" applyAlignment="1" applyBorder="1" applyFont="1">
      <alignment shrinkToFit="0" vertical="center" wrapText="1"/>
    </xf>
    <xf borderId="11" fillId="0" fontId="17" numFmtId="0" xfId="0" applyAlignment="1" applyBorder="1" applyFont="1">
      <alignment shrinkToFit="0" vertical="center" wrapText="1"/>
    </xf>
    <xf borderId="1" fillId="2" fontId="28" numFmtId="0" xfId="0" applyAlignment="1" applyBorder="1" applyFont="1">
      <alignment horizontal="center" shrinkToFit="0" vertical="center" wrapText="1"/>
    </xf>
    <xf borderId="25" fillId="2" fontId="28" numFmtId="0" xfId="0" applyAlignment="1" applyBorder="1" applyFont="1">
      <alignment horizontal="center" shrinkToFit="0" vertical="center" wrapText="1"/>
    </xf>
    <xf borderId="25" fillId="0" fontId="28" numFmtId="0" xfId="0" applyAlignment="1" applyBorder="1" applyFont="1">
      <alignment horizontal="center" shrinkToFit="0" vertical="center" wrapText="1"/>
    </xf>
    <xf borderId="1" fillId="0" fontId="28" numFmtId="0" xfId="0" applyAlignment="1" applyBorder="1" applyFont="1">
      <alignment horizontal="center" shrinkToFit="0" vertical="center" wrapText="1"/>
    </xf>
    <xf borderId="11" fillId="0" fontId="2" numFmtId="0" xfId="0" applyAlignment="1" applyBorder="1" applyFont="1">
      <alignment horizontal="left" vertical="top"/>
    </xf>
    <xf borderId="1" fillId="2" fontId="28" numFmtId="0" xfId="0" applyAlignment="1" applyBorder="1" applyFont="1">
      <alignment shrinkToFit="0" vertical="center" wrapText="1"/>
    </xf>
    <xf borderId="1" fillId="0" fontId="29" numFmtId="0" xfId="0" applyAlignment="1" applyBorder="1" applyFont="1">
      <alignment horizontal="center" shrinkToFit="0" vertical="center" wrapText="1"/>
    </xf>
    <xf borderId="31" fillId="2" fontId="28" numFmtId="0" xfId="0" applyAlignment="1" applyBorder="1" applyFont="1">
      <alignment shrinkToFit="0" vertical="center" wrapText="1"/>
    </xf>
    <xf borderId="0" fillId="0" fontId="25" numFmtId="0" xfId="0" applyAlignment="1" applyFont="1">
      <alignment shrinkToFit="0" wrapText="1"/>
    </xf>
    <xf borderId="0" fillId="0" fontId="22" numFmtId="0" xfId="0" applyAlignment="1" applyFont="1">
      <alignment horizontal="center" shrinkToFit="0" wrapText="1"/>
    </xf>
    <xf borderId="0" fillId="0" fontId="22" numFmtId="2" xfId="0" applyAlignment="1" applyFont="1" applyNumberFormat="1">
      <alignment horizontal="center" shrinkToFit="0" textRotation="90" wrapText="1"/>
    </xf>
    <xf borderId="0" fillId="0" fontId="18" numFmtId="2" xfId="0" applyFont="1" applyNumberFormat="1"/>
    <xf borderId="1" fillId="2" fontId="7" numFmtId="0" xfId="0" applyAlignment="1" applyBorder="1" applyFont="1">
      <alignment horizontal="center"/>
    </xf>
    <xf borderId="1" fillId="0" fontId="7" numFmtId="0" xfId="0" applyAlignment="1" applyBorder="1" applyFont="1">
      <alignment horizontal="center"/>
    </xf>
    <xf borderId="1" fillId="0" fontId="7" numFmtId="0" xfId="0" applyBorder="1" applyFont="1"/>
    <xf borderId="0" fillId="0" fontId="18" numFmtId="0" xfId="0" applyAlignment="1" applyFont="1">
      <alignment horizontal="left"/>
    </xf>
    <xf borderId="0" fillId="0" fontId="7" numFmtId="0" xfId="0" applyAlignment="1" applyFont="1">
      <alignment horizontal="center"/>
    </xf>
    <xf borderId="1" fillId="0" fontId="7" numFmtId="0" xfId="0" applyAlignment="1" applyBorder="1" applyFont="1">
      <alignment horizontal="center" shrinkToFit="0" wrapText="1"/>
    </xf>
    <xf borderId="25" fillId="18" fontId="7" numFmtId="2" xfId="0" applyAlignment="1" applyBorder="1" applyFont="1" applyNumberFormat="1">
      <alignment horizontal="center" shrinkToFit="0" wrapText="1"/>
    </xf>
    <xf borderId="25" fillId="18" fontId="7" numFmtId="164" xfId="0" applyAlignment="1" applyBorder="1" applyFont="1" applyNumberFormat="1">
      <alignment horizontal="center" shrinkToFit="0" wrapText="1"/>
    </xf>
    <xf borderId="1" fillId="2" fontId="7" numFmtId="0" xfId="0" applyAlignment="1" applyBorder="1" applyFont="1">
      <alignment horizontal="center" shrinkToFit="0" wrapText="1"/>
    </xf>
    <xf borderId="1" fillId="2" fontId="7" numFmtId="2" xfId="0" applyAlignment="1" applyBorder="1" applyFont="1" applyNumberFormat="1">
      <alignment horizontal="center"/>
    </xf>
    <xf borderId="1" fillId="2" fontId="7" numFmtId="164" xfId="0" applyAlignment="1" applyBorder="1" applyFont="1" applyNumberFormat="1">
      <alignment horizontal="center"/>
    </xf>
    <xf borderId="1" fillId="0" fontId="7" numFmtId="2" xfId="0" applyAlignment="1" applyBorder="1" applyFont="1" applyNumberFormat="1">
      <alignment horizontal="center"/>
    </xf>
    <xf borderId="1" fillId="0" fontId="7" numFmtId="164" xfId="0" applyAlignment="1" applyBorder="1" applyFont="1" applyNumberFormat="1">
      <alignment horizontal="center"/>
    </xf>
    <xf borderId="2" fillId="5" fontId="2" numFmtId="2" xfId="0" applyBorder="1" applyFont="1" applyNumberFormat="1"/>
    <xf borderId="0" fillId="0" fontId="7" numFmtId="0" xfId="0" applyAlignment="1" applyFont="1">
      <alignment horizontal="center" shrinkToFit="0" wrapText="1"/>
    </xf>
    <xf borderId="0" fillId="0" fontId="7" numFmtId="2" xfId="0" applyAlignment="1" applyFont="1" applyNumberFormat="1">
      <alignment horizontal="center"/>
    </xf>
    <xf borderId="0" fillId="0" fontId="7" numFmtId="164" xfId="0" applyAlignment="1" applyFont="1" applyNumberFormat="1">
      <alignment horizontal="center"/>
    </xf>
  </cellXfs>
  <cellStyles count="1">
    <cellStyle xfId="0" name="Normal" builtinId="0"/>
  </cellStyles>
  <dxfs count="4">
    <dxf>
      <font/>
      <fill>
        <patternFill patternType="solid">
          <fgColor rgb="FFFFFF00"/>
          <bgColor rgb="FFFFFF00"/>
        </patternFill>
      </fill>
      <border/>
    </dxf>
    <dxf>
      <font/>
      <fill>
        <patternFill patternType="solid">
          <fgColor rgb="FFFF0000"/>
          <bgColor rgb="FFFF0000"/>
        </patternFill>
      </fill>
      <border/>
    </dxf>
    <dxf>
      <font/>
      <fill>
        <patternFill patternType="solid">
          <fgColor rgb="FFD6E3BC"/>
          <bgColor rgb="FFD6E3BC"/>
        </patternFill>
      </fill>
      <border/>
    </dxf>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hyperlink" Target="https://csmail.nyc.gov/owa/"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40</xdr:row>
      <xdr:rowOff>142875</xdr:rowOff>
    </xdr:from>
    <xdr:ext cx="6829425" cy="2914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200025</xdr:rowOff>
    </xdr:from>
    <xdr:ext cx="9791700" cy="1952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10</xdr:row>
      <xdr:rowOff>0</xdr:rowOff>
    </xdr:from>
    <xdr:ext cx="333375" cy="333375"/>
    <xdr:sp>
      <xdr:nvSpPr>
        <xdr:cNvPr descr="https://csmail.nyc.gov/owa/14.3.468.0/themes/resources/clear1x1.gif" id="3" name="Shape 3">
          <a:hlinkClick r:id="rId1"/>
        </xdr:cNvPr>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57"/>
    <col customWidth="1" min="2" max="2" width="3.0"/>
    <col customWidth="1" min="3" max="6" width="8.71"/>
  </cols>
  <sheetData>
    <row r="1">
      <c r="A1" s="1"/>
    </row>
    <row r="2">
      <c r="A2" s="1"/>
    </row>
    <row r="4">
      <c r="A4" s="2" t="s">
        <v>1</v>
      </c>
      <c r="B4" s="4"/>
    </row>
    <row r="5">
      <c r="A5" s="6" t="s">
        <v>3</v>
      </c>
    </row>
    <row r="6">
      <c r="A6" s="8" t="s">
        <v>6</v>
      </c>
    </row>
    <row r="7">
      <c r="A7" s="9" t="s">
        <v>9</v>
      </c>
    </row>
    <row r="8">
      <c r="A8" s="10" t="s">
        <v>11</v>
      </c>
    </row>
    <row r="9">
      <c r="A9" s="12" t="s">
        <v>13</v>
      </c>
    </row>
    <row r="10" ht="15.0" customHeight="1">
      <c r="A10" s="13" t="s">
        <v>16</v>
      </c>
    </row>
    <row r="11" ht="15.0" customHeight="1">
      <c r="A11" s="14" t="s">
        <v>17</v>
      </c>
    </row>
    <row r="12">
      <c r="A12" s="15"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Footer>&amp;LVersion 7&amp;RAugust 2023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6" width="8.71"/>
    <col customWidth="1" min="7" max="7" width="9.71"/>
    <col customWidth="1" min="8" max="16" width="8.71"/>
  </cols>
  <sheetData>
    <row r="1">
      <c r="A1" s="3" t="s">
        <v>0</v>
      </c>
      <c r="B1" s="5" t="s">
        <v>2</v>
      </c>
      <c r="E1" s="5" t="s">
        <v>4</v>
      </c>
      <c r="H1" s="7" t="s">
        <v>5</v>
      </c>
      <c r="K1" s="5" t="s">
        <v>7</v>
      </c>
      <c r="N1" s="5" t="s">
        <v>8</v>
      </c>
    </row>
    <row r="2">
      <c r="B2" s="5" t="s">
        <v>10</v>
      </c>
      <c r="E2" s="5" t="s">
        <v>10</v>
      </c>
      <c r="K2" s="5" t="s">
        <v>10</v>
      </c>
      <c r="N2" s="5" t="s">
        <v>10</v>
      </c>
    </row>
    <row r="3">
      <c r="B3" s="11" t="s">
        <v>12</v>
      </c>
      <c r="C3" s="11" t="s">
        <v>14</v>
      </c>
      <c r="D3" s="11" t="s">
        <v>15</v>
      </c>
      <c r="E3" s="11" t="s">
        <v>12</v>
      </c>
      <c r="F3" s="11" t="s">
        <v>14</v>
      </c>
      <c r="G3" s="11" t="s">
        <v>15</v>
      </c>
      <c r="H3" s="11" t="s">
        <v>12</v>
      </c>
      <c r="I3" s="11" t="s">
        <v>14</v>
      </c>
      <c r="J3" s="11" t="s">
        <v>15</v>
      </c>
      <c r="K3" s="11" t="s">
        <v>12</v>
      </c>
      <c r="L3" s="11" t="s">
        <v>14</v>
      </c>
      <c r="M3" s="11" t="s">
        <v>15</v>
      </c>
      <c r="N3" s="11" t="s">
        <v>12</v>
      </c>
      <c r="O3" s="11" t="s">
        <v>14</v>
      </c>
      <c r="P3" s="11" t="s">
        <v>15</v>
      </c>
    </row>
    <row r="4">
      <c r="A4" s="11" t="s">
        <v>19</v>
      </c>
      <c r="B4" s="11">
        <v>0.0</v>
      </c>
      <c r="C4" s="11">
        <v>0.0</v>
      </c>
      <c r="D4" s="11">
        <v>0.0</v>
      </c>
      <c r="E4" s="11">
        <v>5.0</v>
      </c>
      <c r="F4" s="11">
        <v>5.0</v>
      </c>
      <c r="G4" s="11">
        <v>5.0</v>
      </c>
      <c r="H4" s="11" t="s">
        <v>20</v>
      </c>
      <c r="I4" s="11" t="s">
        <v>20</v>
      </c>
      <c r="J4" s="11" t="s">
        <v>20</v>
      </c>
      <c r="K4" s="11">
        <v>0.0</v>
      </c>
      <c r="L4" s="11">
        <v>0.0</v>
      </c>
      <c r="M4" s="11">
        <v>0.0</v>
      </c>
      <c r="N4" s="11">
        <v>0.0</v>
      </c>
      <c r="O4" s="11">
        <v>0.0</v>
      </c>
      <c r="P4" s="11">
        <v>0.0</v>
      </c>
    </row>
    <row r="5">
      <c r="A5" s="11" t="s">
        <v>21</v>
      </c>
      <c r="B5" s="11">
        <v>0.0</v>
      </c>
      <c r="C5" s="11">
        <v>0.0</v>
      </c>
      <c r="D5" s="11">
        <v>0.0</v>
      </c>
      <c r="E5" s="11">
        <v>5.0</v>
      </c>
      <c r="F5" s="11">
        <v>5.0</v>
      </c>
      <c r="G5" s="11">
        <v>5.0</v>
      </c>
      <c r="H5" s="11" t="s">
        <v>20</v>
      </c>
      <c r="I5" s="11" t="s">
        <v>20</v>
      </c>
      <c r="J5" s="11" t="s">
        <v>20</v>
      </c>
      <c r="K5" s="11">
        <v>0.0</v>
      </c>
      <c r="L5" s="11">
        <v>0.0</v>
      </c>
      <c r="M5" s="11">
        <v>0.0</v>
      </c>
      <c r="N5" s="11">
        <v>0.0</v>
      </c>
      <c r="O5" s="11">
        <v>0.0</v>
      </c>
      <c r="P5" s="11">
        <v>0.0</v>
      </c>
    </row>
    <row r="6">
      <c r="A6" s="11" t="s">
        <v>22</v>
      </c>
      <c r="B6" s="11">
        <v>0.0</v>
      </c>
      <c r="C6" s="11">
        <v>0.0</v>
      </c>
      <c r="D6" s="11">
        <v>0.0</v>
      </c>
      <c r="E6" s="11">
        <v>5.0</v>
      </c>
      <c r="F6" s="11">
        <v>5.0</v>
      </c>
      <c r="G6" s="11">
        <v>5.0</v>
      </c>
      <c r="H6" s="11" t="s">
        <v>20</v>
      </c>
      <c r="I6" s="11" t="s">
        <v>20</v>
      </c>
      <c r="J6" s="11" t="s">
        <v>20</v>
      </c>
      <c r="K6" s="11">
        <v>0.0</v>
      </c>
      <c r="L6" s="11">
        <v>0.0</v>
      </c>
      <c r="M6" s="11">
        <v>0.0</v>
      </c>
      <c r="N6" s="11">
        <v>0.0</v>
      </c>
      <c r="O6" s="11">
        <v>0.0</v>
      </c>
      <c r="P6" s="11">
        <v>0.0</v>
      </c>
    </row>
    <row r="7">
      <c r="A7" s="11" t="s">
        <v>23</v>
      </c>
      <c r="B7" s="11">
        <v>0.0</v>
      </c>
      <c r="C7" s="11">
        <v>0.0</v>
      </c>
      <c r="D7" s="11">
        <v>0.0</v>
      </c>
      <c r="E7" s="11">
        <v>5.0</v>
      </c>
      <c r="F7" s="11">
        <v>5.0</v>
      </c>
      <c r="G7" s="11">
        <v>5.0</v>
      </c>
      <c r="H7" s="11" t="s">
        <v>20</v>
      </c>
      <c r="I7" s="11" t="s">
        <v>20</v>
      </c>
      <c r="J7" s="11" t="s">
        <v>20</v>
      </c>
      <c r="K7" s="11">
        <v>0.0</v>
      </c>
      <c r="L7" s="11">
        <v>0.0</v>
      </c>
      <c r="M7" s="11">
        <v>0.0</v>
      </c>
      <c r="N7" s="11">
        <v>0.0</v>
      </c>
      <c r="O7" s="11">
        <v>0.0</v>
      </c>
      <c r="P7" s="11">
        <v>0.0</v>
      </c>
    </row>
    <row r="8">
      <c r="A8" s="11" t="s">
        <v>24</v>
      </c>
      <c r="B8" s="11">
        <v>0.0</v>
      </c>
      <c r="C8" s="11">
        <v>0.0</v>
      </c>
      <c r="D8" s="11">
        <v>0.0</v>
      </c>
      <c r="E8" s="11">
        <v>5.0</v>
      </c>
      <c r="F8" s="11">
        <v>5.0</v>
      </c>
      <c r="G8" s="11">
        <v>5.0</v>
      </c>
      <c r="H8" s="11" t="s">
        <v>20</v>
      </c>
      <c r="I8" s="11" t="s">
        <v>20</v>
      </c>
      <c r="J8" s="11" t="s">
        <v>20</v>
      </c>
      <c r="K8" s="11">
        <v>0.0</v>
      </c>
      <c r="L8" s="11">
        <v>0.0</v>
      </c>
      <c r="M8" s="11">
        <v>0.0</v>
      </c>
      <c r="N8" s="11">
        <v>0.0</v>
      </c>
      <c r="O8" s="11">
        <v>0.0</v>
      </c>
      <c r="P8" s="11">
        <v>0.0</v>
      </c>
    </row>
    <row r="9">
      <c r="A9" s="11" t="s">
        <v>25</v>
      </c>
      <c r="B9" s="11">
        <v>0.0</v>
      </c>
      <c r="C9" s="11">
        <v>0.0</v>
      </c>
      <c r="D9" s="11">
        <v>0.0</v>
      </c>
      <c r="E9" s="11">
        <v>5.0</v>
      </c>
      <c r="F9" s="11">
        <v>5.0</v>
      </c>
      <c r="G9" s="11">
        <v>5.0</v>
      </c>
      <c r="H9" s="11" t="s">
        <v>27</v>
      </c>
      <c r="I9" s="11" t="s">
        <v>20</v>
      </c>
      <c r="J9" s="11" t="s">
        <v>20</v>
      </c>
      <c r="K9" s="11">
        <v>0.0</v>
      </c>
      <c r="L9" s="11">
        <v>0.0</v>
      </c>
      <c r="M9" s="11">
        <v>0.0</v>
      </c>
      <c r="N9" s="11">
        <v>0.0</v>
      </c>
      <c r="O9" s="11">
        <v>0.0</v>
      </c>
      <c r="P9" s="11">
        <v>0.0</v>
      </c>
    </row>
    <row r="10">
      <c r="A10" s="11" t="s">
        <v>26</v>
      </c>
      <c r="B10" s="11">
        <v>0.0</v>
      </c>
      <c r="C10" s="11">
        <v>0.0</v>
      </c>
      <c r="D10" s="11">
        <v>0.0</v>
      </c>
      <c r="E10" s="11" t="s">
        <v>34</v>
      </c>
      <c r="F10" s="11">
        <v>5.0</v>
      </c>
      <c r="G10" s="11">
        <v>5.0</v>
      </c>
      <c r="H10" s="11" t="s">
        <v>27</v>
      </c>
      <c r="I10" s="11" t="s">
        <v>27</v>
      </c>
      <c r="J10" s="11" t="s">
        <v>27</v>
      </c>
      <c r="K10" s="11">
        <v>0.0</v>
      </c>
      <c r="L10" s="11">
        <v>0.0</v>
      </c>
      <c r="M10" s="11">
        <v>0.0</v>
      </c>
      <c r="N10" s="11">
        <v>0.0</v>
      </c>
      <c r="O10" s="11">
        <v>0.0</v>
      </c>
      <c r="P10" s="11">
        <v>0.0</v>
      </c>
    </row>
    <row r="11">
      <c r="A11" s="11" t="s">
        <v>28</v>
      </c>
      <c r="B11" s="11">
        <v>0.0</v>
      </c>
      <c r="C11" s="11">
        <v>0.0</v>
      </c>
      <c r="D11" s="11">
        <v>0.0</v>
      </c>
      <c r="E11" s="11" t="s">
        <v>34</v>
      </c>
      <c r="F11" s="11">
        <v>30.0</v>
      </c>
      <c r="G11" s="11">
        <v>30.0</v>
      </c>
      <c r="H11" s="11" t="s">
        <v>27</v>
      </c>
      <c r="I11" s="11" t="s">
        <v>27</v>
      </c>
      <c r="J11" s="11" t="s">
        <v>27</v>
      </c>
      <c r="K11" s="11">
        <v>0.0</v>
      </c>
      <c r="L11" s="11">
        <v>0.0</v>
      </c>
      <c r="M11" s="11">
        <v>0.0</v>
      </c>
      <c r="N11" s="11">
        <v>0.0</v>
      </c>
      <c r="O11" s="11">
        <v>0.0</v>
      </c>
      <c r="P11" s="11">
        <v>0.0</v>
      </c>
    </row>
    <row r="12">
      <c r="A12" s="11" t="s">
        <v>29</v>
      </c>
      <c r="B12" s="11">
        <v>20.0</v>
      </c>
      <c r="C12" s="11">
        <v>20.0</v>
      </c>
      <c r="D12" s="11">
        <v>10.0</v>
      </c>
      <c r="E12" s="11" t="s">
        <v>34</v>
      </c>
      <c r="F12" s="11">
        <v>30.0</v>
      </c>
      <c r="G12" s="11">
        <v>30.0</v>
      </c>
      <c r="H12" s="11" t="s">
        <v>27</v>
      </c>
      <c r="I12" s="11" t="s">
        <v>27</v>
      </c>
      <c r="J12" s="11" t="s">
        <v>27</v>
      </c>
      <c r="K12" s="11">
        <v>0.0</v>
      </c>
      <c r="L12" s="11">
        <v>0.0</v>
      </c>
      <c r="M12" s="11">
        <v>0.0</v>
      </c>
      <c r="N12" s="11">
        <v>0.0</v>
      </c>
      <c r="O12" s="11">
        <v>0.0</v>
      </c>
      <c r="P12" s="11">
        <v>0.0</v>
      </c>
    </row>
    <row r="13">
      <c r="A13" s="11" t="s">
        <v>31</v>
      </c>
      <c r="B13" s="11">
        <v>20.0</v>
      </c>
      <c r="C13" s="11">
        <v>20.0</v>
      </c>
      <c r="D13" s="11">
        <v>10.0</v>
      </c>
      <c r="E13" s="11" t="s">
        <v>43</v>
      </c>
      <c r="F13" s="11" t="s">
        <v>44</v>
      </c>
      <c r="G13" s="11">
        <v>30.0</v>
      </c>
      <c r="H13" s="11" t="s">
        <v>27</v>
      </c>
      <c r="I13" s="11" t="s">
        <v>27</v>
      </c>
      <c r="J13" s="11" t="s">
        <v>27</v>
      </c>
      <c r="K13" s="11">
        <v>5.0</v>
      </c>
      <c r="L13" s="11">
        <v>5.0</v>
      </c>
      <c r="M13" s="11">
        <v>5.0</v>
      </c>
      <c r="N13" s="11">
        <v>0.0</v>
      </c>
      <c r="O13" s="11">
        <v>0.0</v>
      </c>
      <c r="P13" s="11">
        <v>0.0</v>
      </c>
    </row>
    <row r="14">
      <c r="A14" s="11" t="s">
        <v>32</v>
      </c>
      <c r="B14" s="11">
        <v>20.0</v>
      </c>
      <c r="C14" s="11">
        <v>20.0</v>
      </c>
      <c r="D14" s="11">
        <v>10.0</v>
      </c>
      <c r="E14" s="11" t="s">
        <v>43</v>
      </c>
      <c r="F14" s="11" t="s">
        <v>44</v>
      </c>
      <c r="G14" s="11">
        <v>30.0</v>
      </c>
      <c r="H14" s="11" t="s">
        <v>27</v>
      </c>
      <c r="I14" s="11" t="s">
        <v>27</v>
      </c>
      <c r="J14" s="11" t="s">
        <v>27</v>
      </c>
      <c r="K14" s="11">
        <v>5.0</v>
      </c>
      <c r="L14" s="11">
        <v>5.0</v>
      </c>
      <c r="M14" s="11">
        <v>5.0</v>
      </c>
      <c r="N14" s="11">
        <v>0.0</v>
      </c>
      <c r="O14" s="11">
        <v>0.0</v>
      </c>
      <c r="P14" s="11">
        <v>0.0</v>
      </c>
    </row>
    <row r="15">
      <c r="A15" s="11" t="s">
        <v>33</v>
      </c>
      <c r="B15" s="11">
        <v>80.0</v>
      </c>
      <c r="C15" s="11">
        <v>60.0</v>
      </c>
      <c r="D15" s="11">
        <v>10.0</v>
      </c>
      <c r="E15" s="11" t="s">
        <v>43</v>
      </c>
      <c r="F15" s="11" t="s">
        <v>44</v>
      </c>
      <c r="G15" s="11">
        <v>30.0</v>
      </c>
      <c r="H15" s="11" t="s">
        <v>27</v>
      </c>
      <c r="I15" s="11" t="s">
        <v>27</v>
      </c>
      <c r="J15" s="11" t="s">
        <v>27</v>
      </c>
      <c r="K15" s="11">
        <v>35.0</v>
      </c>
      <c r="L15" s="11">
        <v>20.0</v>
      </c>
      <c r="M15" s="11">
        <v>10.0</v>
      </c>
      <c r="N15" s="11">
        <v>0.0</v>
      </c>
      <c r="O15" s="11">
        <v>0.0</v>
      </c>
      <c r="P15" s="11">
        <v>0.0</v>
      </c>
    </row>
    <row r="16">
      <c r="A16" s="11" t="s">
        <v>36</v>
      </c>
      <c r="B16" s="11">
        <v>80.0</v>
      </c>
      <c r="C16" s="11">
        <v>60.0</v>
      </c>
      <c r="D16" s="11">
        <v>10.0</v>
      </c>
      <c r="E16" s="11" t="s">
        <v>43</v>
      </c>
      <c r="F16" s="11" t="s">
        <v>44</v>
      </c>
      <c r="G16" s="11" t="s">
        <v>52</v>
      </c>
      <c r="H16" s="11" t="s">
        <v>27</v>
      </c>
      <c r="I16" s="11" t="s">
        <v>27</v>
      </c>
      <c r="J16" s="11" t="s">
        <v>27</v>
      </c>
      <c r="K16" s="11">
        <v>5.0</v>
      </c>
      <c r="L16" s="11">
        <v>0.0</v>
      </c>
      <c r="M16" s="11">
        <v>0.0</v>
      </c>
      <c r="N16" s="11">
        <v>0.0</v>
      </c>
      <c r="O16" s="11">
        <v>0.0</v>
      </c>
      <c r="P16" s="11">
        <v>0.0</v>
      </c>
    </row>
    <row r="17">
      <c r="A17" s="11" t="s">
        <v>39</v>
      </c>
      <c r="B17" s="11">
        <v>80.0</v>
      </c>
      <c r="C17" s="11">
        <v>60.0</v>
      </c>
      <c r="D17" s="11">
        <v>70.0</v>
      </c>
      <c r="E17" s="11" t="s">
        <v>43</v>
      </c>
      <c r="F17" s="11" t="s">
        <v>44</v>
      </c>
      <c r="G17" s="11" t="s">
        <v>52</v>
      </c>
      <c r="H17" s="11" t="s">
        <v>27</v>
      </c>
      <c r="I17" s="11" t="s">
        <v>27</v>
      </c>
      <c r="J17" s="11" t="s">
        <v>27</v>
      </c>
      <c r="K17" s="11">
        <v>5.0</v>
      </c>
      <c r="L17" s="11">
        <v>0.0</v>
      </c>
      <c r="M17" s="11">
        <v>0.0</v>
      </c>
      <c r="N17" s="11">
        <v>0.0</v>
      </c>
      <c r="O17" s="11">
        <v>0.0</v>
      </c>
      <c r="P17" s="11">
        <v>0.0</v>
      </c>
    </row>
    <row r="18">
      <c r="A18" s="11" t="s">
        <v>40</v>
      </c>
      <c r="B18" s="11">
        <v>80.0</v>
      </c>
      <c r="C18" s="11">
        <v>60.0</v>
      </c>
      <c r="D18" s="11">
        <v>70.0</v>
      </c>
      <c r="E18" s="11" t="s">
        <v>43</v>
      </c>
      <c r="F18" s="11" t="s">
        <v>44</v>
      </c>
      <c r="G18" s="11" t="s">
        <v>52</v>
      </c>
      <c r="H18" s="11" t="s">
        <v>27</v>
      </c>
      <c r="I18" s="11" t="s">
        <v>27</v>
      </c>
      <c r="J18" s="11" t="s">
        <v>27</v>
      </c>
      <c r="K18" s="11">
        <v>5.0</v>
      </c>
      <c r="L18" s="11">
        <v>0.0</v>
      </c>
      <c r="M18" s="11">
        <v>0.0</v>
      </c>
      <c r="N18" s="11">
        <v>0.0</v>
      </c>
      <c r="O18" s="11">
        <v>0.0</v>
      </c>
      <c r="P18" s="11">
        <v>0.0</v>
      </c>
    </row>
    <row r="19">
      <c r="A19" s="11" t="s">
        <v>42</v>
      </c>
      <c r="B19" s="11">
        <v>80.0</v>
      </c>
      <c r="C19" s="11">
        <v>60.0</v>
      </c>
      <c r="D19" s="11">
        <v>70.0</v>
      </c>
      <c r="E19" s="11" t="s">
        <v>43</v>
      </c>
      <c r="F19" s="11" t="s">
        <v>44</v>
      </c>
      <c r="G19" s="11" t="s">
        <v>52</v>
      </c>
      <c r="H19" s="11" t="s">
        <v>27</v>
      </c>
      <c r="I19" s="11" t="s">
        <v>27</v>
      </c>
      <c r="J19" s="11" t="s">
        <v>27</v>
      </c>
      <c r="K19" s="11">
        <v>5.0</v>
      </c>
      <c r="L19" s="11">
        <v>0.0</v>
      </c>
      <c r="M19" s="11">
        <v>0.0</v>
      </c>
      <c r="N19" s="11">
        <v>0.0</v>
      </c>
      <c r="O19" s="11">
        <v>0.0</v>
      </c>
      <c r="P19" s="11">
        <v>0.0</v>
      </c>
    </row>
    <row r="20">
      <c r="A20" s="11" t="s">
        <v>45</v>
      </c>
      <c r="B20" s="11">
        <v>80.0</v>
      </c>
      <c r="C20" s="11">
        <v>60.0</v>
      </c>
      <c r="D20" s="11">
        <v>70.0</v>
      </c>
      <c r="E20" s="11" t="s">
        <v>43</v>
      </c>
      <c r="F20" s="11" t="s">
        <v>44</v>
      </c>
      <c r="G20" s="11" t="s">
        <v>52</v>
      </c>
      <c r="H20" s="11" t="s">
        <v>27</v>
      </c>
      <c r="I20" s="11" t="s">
        <v>27</v>
      </c>
      <c r="J20" s="11" t="s">
        <v>27</v>
      </c>
      <c r="K20" s="11">
        <v>5.0</v>
      </c>
      <c r="L20" s="11">
        <v>0.0</v>
      </c>
      <c r="M20" s="11">
        <v>0.0</v>
      </c>
      <c r="N20" s="11">
        <v>0.0</v>
      </c>
      <c r="O20" s="11">
        <v>0.0</v>
      </c>
      <c r="P20" s="11">
        <v>0.0</v>
      </c>
    </row>
    <row r="21" ht="15.75" customHeight="1">
      <c r="A21" s="11" t="s">
        <v>48</v>
      </c>
      <c r="B21" s="11">
        <v>80.0</v>
      </c>
      <c r="C21" s="11">
        <v>60.0</v>
      </c>
      <c r="D21" s="11">
        <v>70.0</v>
      </c>
      <c r="E21" s="11" t="s">
        <v>43</v>
      </c>
      <c r="F21" s="11" t="s">
        <v>44</v>
      </c>
      <c r="G21" s="11" t="s">
        <v>52</v>
      </c>
      <c r="H21" s="11" t="s">
        <v>27</v>
      </c>
      <c r="I21" s="11" t="s">
        <v>27</v>
      </c>
      <c r="J21" s="11" t="s">
        <v>27</v>
      </c>
      <c r="K21" s="11">
        <v>0.0</v>
      </c>
      <c r="L21" s="11">
        <v>0.0</v>
      </c>
      <c r="M21" s="11">
        <v>0.0</v>
      </c>
      <c r="N21" s="11">
        <v>0.0</v>
      </c>
      <c r="O21" s="11">
        <v>0.0</v>
      </c>
      <c r="P21" s="11">
        <v>0.0</v>
      </c>
    </row>
    <row r="22" ht="15.75" customHeight="1">
      <c r="A22" s="11" t="s">
        <v>50</v>
      </c>
      <c r="B22" s="11">
        <v>20.0</v>
      </c>
      <c r="C22" s="11">
        <v>60.0</v>
      </c>
      <c r="D22" s="11">
        <v>70.0</v>
      </c>
      <c r="E22" s="11" t="s">
        <v>43</v>
      </c>
      <c r="F22" s="11" t="s">
        <v>44</v>
      </c>
      <c r="G22" s="11" t="s">
        <v>52</v>
      </c>
      <c r="H22" s="11" t="s">
        <v>27</v>
      </c>
      <c r="I22" s="11" t="s">
        <v>27</v>
      </c>
      <c r="J22" s="11" t="s">
        <v>27</v>
      </c>
      <c r="K22" s="11">
        <v>0.0</v>
      </c>
      <c r="L22" s="11">
        <v>0.0</v>
      </c>
      <c r="M22" s="11">
        <v>0.0</v>
      </c>
      <c r="N22" s="11">
        <v>0.0</v>
      </c>
      <c r="O22" s="11">
        <v>0.0</v>
      </c>
      <c r="P22" s="11">
        <v>0.0</v>
      </c>
    </row>
    <row r="23" ht="15.75" customHeight="1">
      <c r="A23" s="11" t="s">
        <v>51</v>
      </c>
      <c r="B23" s="11">
        <v>20.0</v>
      </c>
      <c r="C23" s="11">
        <v>60.0</v>
      </c>
      <c r="D23" s="11">
        <v>70.0</v>
      </c>
      <c r="E23" s="11" t="s">
        <v>43</v>
      </c>
      <c r="F23" s="11" t="s">
        <v>44</v>
      </c>
      <c r="G23" s="11" t="s">
        <v>52</v>
      </c>
      <c r="H23" s="11" t="s">
        <v>27</v>
      </c>
      <c r="I23" s="11" t="s">
        <v>27</v>
      </c>
      <c r="J23" s="11" t="s">
        <v>27</v>
      </c>
      <c r="K23" s="11">
        <v>0.0</v>
      </c>
      <c r="L23" s="11">
        <v>65.0</v>
      </c>
      <c r="M23" s="11">
        <v>65.0</v>
      </c>
      <c r="N23" s="11">
        <v>0.0</v>
      </c>
      <c r="O23" s="11">
        <v>0.0</v>
      </c>
      <c r="P23" s="11">
        <v>0.0</v>
      </c>
    </row>
    <row r="24" ht="15.75" customHeight="1">
      <c r="A24" s="11" t="s">
        <v>53</v>
      </c>
      <c r="B24" s="11">
        <v>20.0</v>
      </c>
      <c r="C24" s="11">
        <v>60.0</v>
      </c>
      <c r="D24" s="11">
        <v>70.0</v>
      </c>
      <c r="E24" s="11" t="s">
        <v>43</v>
      </c>
      <c r="F24" s="11" t="s">
        <v>44</v>
      </c>
      <c r="G24" s="11" t="s">
        <v>52</v>
      </c>
      <c r="H24" s="11" t="s">
        <v>27</v>
      </c>
      <c r="I24" s="11" t="s">
        <v>27</v>
      </c>
      <c r="J24" s="11" t="s">
        <v>27</v>
      </c>
      <c r="K24" s="11">
        <v>0.0</v>
      </c>
      <c r="L24" s="11">
        <v>30.0</v>
      </c>
      <c r="M24" s="11">
        <v>30.0</v>
      </c>
      <c r="N24" s="11">
        <v>0.0</v>
      </c>
      <c r="O24" s="11">
        <v>0.0</v>
      </c>
      <c r="P24" s="11">
        <v>0.0</v>
      </c>
    </row>
    <row r="25" ht="15.75" customHeight="1">
      <c r="A25" s="11" t="s">
        <v>54</v>
      </c>
      <c r="B25" s="11">
        <v>20.0</v>
      </c>
      <c r="C25" s="11">
        <v>80.0</v>
      </c>
      <c r="D25" s="11">
        <v>70.0</v>
      </c>
      <c r="E25" s="11" t="s">
        <v>43</v>
      </c>
      <c r="F25" s="11" t="s">
        <v>44</v>
      </c>
      <c r="G25" s="11" t="s">
        <v>52</v>
      </c>
      <c r="H25" s="11" t="s">
        <v>27</v>
      </c>
      <c r="I25" s="11" t="s">
        <v>27</v>
      </c>
      <c r="J25" s="11" t="s">
        <v>27</v>
      </c>
      <c r="K25" s="11">
        <v>0.0</v>
      </c>
      <c r="L25" s="11">
        <v>0.0</v>
      </c>
      <c r="M25" s="11">
        <v>0.0</v>
      </c>
      <c r="N25" s="11">
        <v>0.0</v>
      </c>
      <c r="O25" s="11">
        <v>0.0</v>
      </c>
      <c r="P25" s="11">
        <v>0.0</v>
      </c>
    </row>
    <row r="26" ht="15.75" customHeight="1">
      <c r="A26" s="11" t="s">
        <v>55</v>
      </c>
      <c r="B26" s="11">
        <v>10.0</v>
      </c>
      <c r="C26" s="11">
        <v>10.0</v>
      </c>
      <c r="D26" s="11">
        <v>20.0</v>
      </c>
      <c r="E26" s="11">
        <v>25.0</v>
      </c>
      <c r="F26" s="11" t="s">
        <v>44</v>
      </c>
      <c r="G26" s="11" t="s">
        <v>52</v>
      </c>
      <c r="H26" s="11" t="s">
        <v>27</v>
      </c>
      <c r="I26" s="11" t="s">
        <v>27</v>
      </c>
      <c r="J26" s="11" t="s">
        <v>27</v>
      </c>
      <c r="K26" s="11">
        <v>0.0</v>
      </c>
      <c r="L26" s="11">
        <v>0.0</v>
      </c>
      <c r="M26" s="11">
        <v>0.0</v>
      </c>
      <c r="N26" s="11">
        <v>0.0</v>
      </c>
      <c r="O26" s="11">
        <v>0.0</v>
      </c>
      <c r="P26" s="11">
        <v>0.0</v>
      </c>
    </row>
    <row r="27" ht="15.75" customHeight="1">
      <c r="A27" s="11" t="s">
        <v>56</v>
      </c>
      <c r="B27" s="11">
        <v>0.0</v>
      </c>
      <c r="C27" s="11">
        <v>0.0</v>
      </c>
      <c r="D27" s="11">
        <v>0.0</v>
      </c>
      <c r="E27" s="11">
        <v>5.0</v>
      </c>
      <c r="F27" s="11">
        <v>5.0</v>
      </c>
      <c r="G27" s="11">
        <v>5.0</v>
      </c>
      <c r="H27" s="11" t="s">
        <v>20</v>
      </c>
      <c r="I27" s="11" t="s">
        <v>20</v>
      </c>
      <c r="J27" s="11" t="s">
        <v>20</v>
      </c>
      <c r="K27" s="11">
        <v>0.0</v>
      </c>
      <c r="L27" s="11">
        <v>0.0</v>
      </c>
      <c r="M27" s="11">
        <v>0.0</v>
      </c>
      <c r="N27" s="11">
        <v>0.0</v>
      </c>
      <c r="O27" s="11">
        <v>0.0</v>
      </c>
      <c r="P27" s="11">
        <v>0.0</v>
      </c>
    </row>
    <row r="28" ht="15.75" customHeight="1">
      <c r="A28" s="11" t="s">
        <v>57</v>
      </c>
      <c r="B28" s="11">
        <f t="shared" ref="B28:D28" si="1">SUM(B4:B27)</f>
        <v>710</v>
      </c>
      <c r="C28" s="11">
        <f t="shared" si="1"/>
        <v>750</v>
      </c>
      <c r="D28" s="11">
        <f t="shared" si="1"/>
        <v>700</v>
      </c>
      <c r="E28" s="11" t="s">
        <v>67</v>
      </c>
      <c r="F28" s="11" t="s">
        <v>68</v>
      </c>
      <c r="G28" s="11" t="s">
        <v>69</v>
      </c>
      <c r="H28" s="11">
        <v>1800.0</v>
      </c>
      <c r="I28" s="11">
        <v>1700.0</v>
      </c>
      <c r="J28" s="11">
        <v>1700.0</v>
      </c>
      <c r="K28" s="11">
        <f t="shared" ref="K28:P28" si="2">SUM(K4:K27)</f>
        <v>70</v>
      </c>
      <c r="L28" s="11">
        <f t="shared" si="2"/>
        <v>125</v>
      </c>
      <c r="M28" s="11">
        <f t="shared" si="2"/>
        <v>115</v>
      </c>
      <c r="N28" s="11">
        <f t="shared" si="2"/>
        <v>0</v>
      </c>
      <c r="O28" s="11">
        <f t="shared" si="2"/>
        <v>0</v>
      </c>
      <c r="P28" s="11">
        <f t="shared" si="2"/>
        <v>0</v>
      </c>
    </row>
    <row r="29" ht="15.75" customHeight="1">
      <c r="A29" s="11" t="s">
        <v>59</v>
      </c>
      <c r="B29" s="21">
        <f>((B28/100)*5+C28/100+D28/100)</f>
        <v>50</v>
      </c>
      <c r="E29" s="22" t="s">
        <v>70</v>
      </c>
      <c r="H29" s="21">
        <f>((H28/100)*5+I28/100+J28/100)</f>
        <v>124</v>
      </c>
      <c r="K29" s="21">
        <f>((K28/100)*5+L28/100+M28/100)</f>
        <v>5.9</v>
      </c>
      <c r="N29" s="21">
        <f>((N28/100)*5+O28/100+P28/100)</f>
        <v>0</v>
      </c>
    </row>
    <row r="30" ht="15.75" customHeight="1">
      <c r="A30" s="11" t="s">
        <v>64</v>
      </c>
      <c r="B30" s="19">
        <f>B29*52.14</f>
        <v>2607</v>
      </c>
      <c r="E30" s="20" t="s">
        <v>72</v>
      </c>
      <c r="H30" s="19">
        <f>H29*52.14</f>
        <v>6465.36</v>
      </c>
      <c r="K30" s="19">
        <f>K29*52.14</f>
        <v>307.626</v>
      </c>
      <c r="N30" s="19">
        <f>N29*52.14</f>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A3"/>
    <mergeCell ref="B1:D1"/>
    <mergeCell ref="E1:G1"/>
    <mergeCell ref="H1:J2"/>
    <mergeCell ref="N1:P1"/>
    <mergeCell ref="B2:D2"/>
    <mergeCell ref="E2:G2"/>
    <mergeCell ref="N2:P2"/>
    <mergeCell ref="B30:D30"/>
    <mergeCell ref="E30:G30"/>
    <mergeCell ref="H30:J30"/>
    <mergeCell ref="K30:M30"/>
    <mergeCell ref="N30:P30"/>
    <mergeCell ref="K1:M1"/>
    <mergeCell ref="K2:M2"/>
    <mergeCell ref="B29:D29"/>
    <mergeCell ref="E29:G29"/>
    <mergeCell ref="H29:J29"/>
    <mergeCell ref="K29:M29"/>
    <mergeCell ref="N29:P29"/>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6" width="8.71"/>
    <col customWidth="1" min="7" max="7" width="9.71"/>
    <col customWidth="1" min="8" max="16" width="8.71"/>
  </cols>
  <sheetData>
    <row r="1">
      <c r="A1" s="3" t="s">
        <v>0</v>
      </c>
      <c r="B1" s="5" t="s">
        <v>2</v>
      </c>
      <c r="E1" s="5" t="s">
        <v>4</v>
      </c>
      <c r="H1" s="7" t="s">
        <v>5</v>
      </c>
      <c r="K1" s="5" t="s">
        <v>7</v>
      </c>
      <c r="N1" s="5" t="s">
        <v>8</v>
      </c>
    </row>
    <row r="2">
      <c r="B2" s="5" t="s">
        <v>10</v>
      </c>
      <c r="E2" s="5" t="s">
        <v>10</v>
      </c>
      <c r="K2" s="5" t="s">
        <v>10</v>
      </c>
      <c r="N2" s="5" t="s">
        <v>10</v>
      </c>
    </row>
    <row r="3">
      <c r="B3" s="11" t="s">
        <v>12</v>
      </c>
      <c r="C3" s="11" t="s">
        <v>14</v>
      </c>
      <c r="D3" s="11" t="s">
        <v>15</v>
      </c>
      <c r="E3" s="11" t="s">
        <v>12</v>
      </c>
      <c r="F3" s="11" t="s">
        <v>14</v>
      </c>
      <c r="G3" s="11" t="s">
        <v>15</v>
      </c>
      <c r="H3" s="11" t="s">
        <v>12</v>
      </c>
      <c r="I3" s="11" t="s">
        <v>14</v>
      </c>
      <c r="J3" s="11" t="s">
        <v>15</v>
      </c>
      <c r="K3" s="11" t="s">
        <v>12</v>
      </c>
      <c r="L3" s="11" t="s">
        <v>14</v>
      </c>
      <c r="M3" s="11" t="s">
        <v>15</v>
      </c>
      <c r="N3" s="11" t="s">
        <v>12</v>
      </c>
      <c r="O3" s="11" t="s">
        <v>14</v>
      </c>
      <c r="P3" s="11" t="s">
        <v>15</v>
      </c>
    </row>
    <row r="4">
      <c r="A4" s="11" t="s">
        <v>19</v>
      </c>
      <c r="B4" s="11">
        <v>0.0</v>
      </c>
      <c r="C4" s="11">
        <v>0.0</v>
      </c>
      <c r="D4" s="11">
        <v>0.0</v>
      </c>
      <c r="E4" s="11">
        <v>5.0</v>
      </c>
      <c r="F4" s="11">
        <v>5.0</v>
      </c>
      <c r="G4" s="11">
        <v>5.0</v>
      </c>
      <c r="H4" s="11" t="s">
        <v>20</v>
      </c>
      <c r="I4" s="11" t="s">
        <v>20</v>
      </c>
      <c r="J4" s="11" t="s">
        <v>20</v>
      </c>
      <c r="K4" s="11">
        <v>5.0</v>
      </c>
      <c r="L4" s="11">
        <v>5.0</v>
      </c>
      <c r="M4" s="11">
        <v>4.0</v>
      </c>
      <c r="N4" s="11">
        <v>0.0</v>
      </c>
      <c r="O4" s="11">
        <v>0.0</v>
      </c>
      <c r="P4" s="11">
        <v>0.0</v>
      </c>
    </row>
    <row r="5">
      <c r="A5" s="11" t="s">
        <v>21</v>
      </c>
      <c r="B5" s="11">
        <v>0.0</v>
      </c>
      <c r="C5" s="11">
        <v>0.0</v>
      </c>
      <c r="D5" s="11">
        <v>0.0</v>
      </c>
      <c r="E5" s="11">
        <v>5.0</v>
      </c>
      <c r="F5" s="11">
        <v>5.0</v>
      </c>
      <c r="G5" s="11">
        <v>5.0</v>
      </c>
      <c r="H5" s="11" t="s">
        <v>20</v>
      </c>
      <c r="I5" s="11" t="s">
        <v>20</v>
      </c>
      <c r="J5" s="11" t="s">
        <v>20</v>
      </c>
      <c r="K5" s="11">
        <v>5.0</v>
      </c>
      <c r="L5" s="11">
        <v>5.0</v>
      </c>
      <c r="M5" s="11">
        <v>4.0</v>
      </c>
      <c r="N5" s="11">
        <v>0.0</v>
      </c>
      <c r="O5" s="11">
        <v>0.0</v>
      </c>
      <c r="P5" s="11">
        <v>0.0</v>
      </c>
    </row>
    <row r="6">
      <c r="A6" s="11" t="s">
        <v>22</v>
      </c>
      <c r="B6" s="11">
        <v>0.0</v>
      </c>
      <c r="C6" s="11">
        <v>0.0</v>
      </c>
      <c r="D6" s="11">
        <v>0.0</v>
      </c>
      <c r="E6" s="11">
        <v>5.0</v>
      </c>
      <c r="F6" s="11">
        <v>5.0</v>
      </c>
      <c r="G6" s="11">
        <v>5.0</v>
      </c>
      <c r="H6" s="11" t="s">
        <v>20</v>
      </c>
      <c r="I6" s="11" t="s">
        <v>20</v>
      </c>
      <c r="J6" s="11" t="s">
        <v>20</v>
      </c>
      <c r="K6" s="11">
        <v>5.0</v>
      </c>
      <c r="L6" s="11">
        <v>5.0</v>
      </c>
      <c r="M6" s="11">
        <v>4.0</v>
      </c>
      <c r="N6" s="11">
        <v>0.0</v>
      </c>
      <c r="O6" s="11">
        <v>0.0</v>
      </c>
      <c r="P6" s="11">
        <v>0.0</v>
      </c>
    </row>
    <row r="7">
      <c r="A7" s="11" t="s">
        <v>23</v>
      </c>
      <c r="B7" s="11">
        <v>0.0</v>
      </c>
      <c r="C7" s="11">
        <v>0.0</v>
      </c>
      <c r="D7" s="11">
        <v>0.0</v>
      </c>
      <c r="E7" s="11">
        <v>5.0</v>
      </c>
      <c r="F7" s="11">
        <v>5.0</v>
      </c>
      <c r="G7" s="11">
        <v>5.0</v>
      </c>
      <c r="H7" s="11" t="s">
        <v>20</v>
      </c>
      <c r="I7" s="11" t="s">
        <v>20</v>
      </c>
      <c r="J7" s="11" t="s">
        <v>20</v>
      </c>
      <c r="K7" s="11">
        <v>5.0</v>
      </c>
      <c r="L7" s="11">
        <v>5.0</v>
      </c>
      <c r="M7" s="11">
        <v>4.0</v>
      </c>
      <c r="N7" s="11">
        <v>0.0</v>
      </c>
      <c r="O7" s="11">
        <v>0.0</v>
      </c>
      <c r="P7" s="11">
        <v>0.0</v>
      </c>
    </row>
    <row r="8">
      <c r="A8" s="11" t="s">
        <v>24</v>
      </c>
      <c r="B8" s="11">
        <v>0.0</v>
      </c>
      <c r="C8" s="11">
        <v>0.0</v>
      </c>
      <c r="D8" s="11">
        <v>0.0</v>
      </c>
      <c r="E8" s="11">
        <v>5.0</v>
      </c>
      <c r="F8" s="11">
        <v>5.0</v>
      </c>
      <c r="G8" s="11">
        <v>5.0</v>
      </c>
      <c r="H8" s="11" t="s">
        <v>20</v>
      </c>
      <c r="I8" s="11" t="s">
        <v>20</v>
      </c>
      <c r="J8" s="11" t="s">
        <v>20</v>
      </c>
      <c r="K8" s="11">
        <v>5.0</v>
      </c>
      <c r="L8" s="11">
        <v>5.0</v>
      </c>
      <c r="M8" s="11">
        <v>4.0</v>
      </c>
      <c r="N8" s="11">
        <v>0.0</v>
      </c>
      <c r="O8" s="11">
        <v>0.0</v>
      </c>
      <c r="P8" s="11">
        <v>0.0</v>
      </c>
    </row>
    <row r="9">
      <c r="A9" s="11" t="s">
        <v>25</v>
      </c>
      <c r="B9" s="11">
        <v>0.0</v>
      </c>
      <c r="C9" s="11">
        <v>0.0</v>
      </c>
      <c r="D9" s="11">
        <v>0.0</v>
      </c>
      <c r="E9" s="11">
        <v>10.0</v>
      </c>
      <c r="F9" s="11">
        <v>5.0</v>
      </c>
      <c r="G9" s="11">
        <v>5.0</v>
      </c>
      <c r="H9" s="11" t="s">
        <v>20</v>
      </c>
      <c r="I9" s="11" t="s">
        <v>20</v>
      </c>
      <c r="J9" s="11" t="s">
        <v>20</v>
      </c>
      <c r="K9" s="11">
        <v>8.0</v>
      </c>
      <c r="L9" s="11">
        <v>8.0</v>
      </c>
      <c r="M9" s="11">
        <v>7.0</v>
      </c>
      <c r="N9" s="11">
        <v>0.0</v>
      </c>
      <c r="O9" s="11">
        <v>0.0</v>
      </c>
      <c r="P9" s="11">
        <v>0.0</v>
      </c>
    </row>
    <row r="10">
      <c r="A10" s="11" t="s">
        <v>26</v>
      </c>
      <c r="B10" s="11">
        <v>10.0</v>
      </c>
      <c r="C10" s="11">
        <v>10.0</v>
      </c>
      <c r="D10" s="11">
        <v>5.0</v>
      </c>
      <c r="E10" s="11">
        <v>10.0</v>
      </c>
      <c r="F10" s="11">
        <v>10.0</v>
      </c>
      <c r="G10" s="11">
        <v>5.0</v>
      </c>
      <c r="H10" s="11" t="s">
        <v>27</v>
      </c>
      <c r="I10" s="11" t="s">
        <v>27</v>
      </c>
      <c r="J10" s="11" t="s">
        <v>20</v>
      </c>
      <c r="K10" s="11">
        <v>7.0</v>
      </c>
      <c r="L10" s="11">
        <v>7.0</v>
      </c>
      <c r="M10" s="11">
        <v>4.0</v>
      </c>
      <c r="N10" s="11">
        <v>0.0</v>
      </c>
      <c r="O10" s="11">
        <v>0.0</v>
      </c>
      <c r="P10" s="11">
        <v>0.0</v>
      </c>
    </row>
    <row r="11">
      <c r="A11" s="11" t="s">
        <v>28</v>
      </c>
      <c r="B11" s="11">
        <v>20.0</v>
      </c>
      <c r="C11" s="11">
        <v>10.0</v>
      </c>
      <c r="D11" s="11">
        <v>5.0</v>
      </c>
      <c r="E11" s="11">
        <v>30.0</v>
      </c>
      <c r="F11" s="11">
        <v>10.0</v>
      </c>
      <c r="G11" s="11">
        <v>5.0</v>
      </c>
      <c r="H11" s="11" t="s">
        <v>27</v>
      </c>
      <c r="I11" s="11" t="s">
        <v>27</v>
      </c>
      <c r="J11" s="11" t="s">
        <v>20</v>
      </c>
      <c r="K11" s="11">
        <v>19.0</v>
      </c>
      <c r="L11" s="11">
        <v>11.0</v>
      </c>
      <c r="M11" s="11">
        <v>4.0</v>
      </c>
      <c r="N11" s="11">
        <v>35.0</v>
      </c>
      <c r="O11" s="11">
        <v>16.0</v>
      </c>
      <c r="P11" s="11">
        <v>0.0</v>
      </c>
    </row>
    <row r="12">
      <c r="A12" s="11" t="s">
        <v>29</v>
      </c>
      <c r="B12" s="11">
        <v>95.0</v>
      </c>
      <c r="C12" s="11">
        <v>30.0</v>
      </c>
      <c r="D12" s="11">
        <v>5.0</v>
      </c>
      <c r="E12" s="11" t="s">
        <v>30</v>
      </c>
      <c r="F12" s="11">
        <v>30.0</v>
      </c>
      <c r="G12" s="11">
        <v>5.0</v>
      </c>
      <c r="H12" s="11" t="s">
        <v>27</v>
      </c>
      <c r="I12" s="11" t="s">
        <v>27</v>
      </c>
      <c r="J12" s="11" t="s">
        <v>20</v>
      </c>
      <c r="K12" s="11">
        <v>35.0</v>
      </c>
      <c r="L12" s="11">
        <v>15.0</v>
      </c>
      <c r="M12" s="11">
        <v>4.0</v>
      </c>
      <c r="N12" s="11">
        <v>69.0</v>
      </c>
      <c r="O12" s="11">
        <v>14.0</v>
      </c>
      <c r="P12" s="11">
        <v>0.0</v>
      </c>
    </row>
    <row r="13">
      <c r="A13" s="11" t="s">
        <v>31</v>
      </c>
      <c r="B13" s="11">
        <v>95.0</v>
      </c>
      <c r="C13" s="11">
        <v>30.0</v>
      </c>
      <c r="D13" s="11">
        <v>5.0</v>
      </c>
      <c r="E13" s="11" t="s">
        <v>30</v>
      </c>
      <c r="F13" s="11">
        <v>30.0</v>
      </c>
      <c r="G13" s="11">
        <v>5.0</v>
      </c>
      <c r="H13" s="11" t="s">
        <v>27</v>
      </c>
      <c r="I13" s="11" t="s">
        <v>27</v>
      </c>
      <c r="J13" s="11" t="s">
        <v>20</v>
      </c>
      <c r="K13" s="11">
        <v>38.0</v>
      </c>
      <c r="L13" s="11">
        <v>21.0</v>
      </c>
      <c r="M13" s="11">
        <v>4.0</v>
      </c>
      <c r="N13" s="11">
        <v>43.0</v>
      </c>
      <c r="O13" s="11">
        <v>21.0</v>
      </c>
      <c r="P13" s="11">
        <v>0.0</v>
      </c>
    </row>
    <row r="14">
      <c r="A14" s="11" t="s">
        <v>32</v>
      </c>
      <c r="B14" s="11">
        <v>95.0</v>
      </c>
      <c r="C14" s="11">
        <v>30.0</v>
      </c>
      <c r="D14" s="11">
        <v>5.0</v>
      </c>
      <c r="E14" s="11" t="s">
        <v>30</v>
      </c>
      <c r="F14" s="11">
        <v>30.0</v>
      </c>
      <c r="G14" s="11">
        <v>5.0</v>
      </c>
      <c r="H14" s="11" t="s">
        <v>27</v>
      </c>
      <c r="I14" s="11" t="s">
        <v>27</v>
      </c>
      <c r="J14" s="11" t="s">
        <v>20</v>
      </c>
      <c r="K14" s="11">
        <v>39.0</v>
      </c>
      <c r="L14" s="11">
        <v>19.0</v>
      </c>
      <c r="M14" s="11">
        <v>4.0</v>
      </c>
      <c r="N14" s="11">
        <v>37.0</v>
      </c>
      <c r="O14" s="11">
        <v>18.0</v>
      </c>
      <c r="P14" s="11">
        <v>0.0</v>
      </c>
    </row>
    <row r="15">
      <c r="A15" s="11" t="s">
        <v>33</v>
      </c>
      <c r="B15" s="11">
        <v>95.0</v>
      </c>
      <c r="C15" s="11">
        <v>30.0</v>
      </c>
      <c r="D15" s="11">
        <v>5.0</v>
      </c>
      <c r="E15" s="11" t="s">
        <v>30</v>
      </c>
      <c r="F15" s="11">
        <v>30.0</v>
      </c>
      <c r="G15" s="11">
        <v>5.0</v>
      </c>
      <c r="H15" s="11" t="s">
        <v>27</v>
      </c>
      <c r="I15" s="11" t="s">
        <v>27</v>
      </c>
      <c r="J15" s="11" t="s">
        <v>20</v>
      </c>
      <c r="K15" s="11">
        <v>47.0</v>
      </c>
      <c r="L15" s="11">
        <v>23.0</v>
      </c>
      <c r="M15" s="11">
        <v>6.0</v>
      </c>
      <c r="N15" s="11">
        <v>43.0</v>
      </c>
      <c r="O15" s="11">
        <v>25.0</v>
      </c>
      <c r="P15" s="11">
        <v>0.0</v>
      </c>
    </row>
    <row r="16">
      <c r="A16" s="11" t="s">
        <v>36</v>
      </c>
      <c r="B16" s="11">
        <v>50.0</v>
      </c>
      <c r="C16" s="11">
        <v>10.0</v>
      </c>
      <c r="D16" s="11">
        <v>5.0</v>
      </c>
      <c r="E16" s="11" t="s">
        <v>38</v>
      </c>
      <c r="F16" s="11">
        <v>15.0</v>
      </c>
      <c r="G16" s="11">
        <v>5.0</v>
      </c>
      <c r="H16" s="11" t="s">
        <v>27</v>
      </c>
      <c r="I16" s="11" t="s">
        <v>27</v>
      </c>
      <c r="J16" s="11" t="s">
        <v>20</v>
      </c>
      <c r="K16" s="11">
        <v>57.0</v>
      </c>
      <c r="L16" s="11">
        <v>20.0</v>
      </c>
      <c r="M16" s="11">
        <v>6.0</v>
      </c>
      <c r="N16" s="11">
        <v>58.0</v>
      </c>
      <c r="O16" s="11">
        <v>21.0</v>
      </c>
      <c r="P16" s="11">
        <v>0.0</v>
      </c>
    </row>
    <row r="17">
      <c r="A17" s="11" t="s">
        <v>39</v>
      </c>
      <c r="B17" s="11">
        <v>95.0</v>
      </c>
      <c r="C17" s="11">
        <v>10.0</v>
      </c>
      <c r="D17" s="11">
        <v>5.0</v>
      </c>
      <c r="E17" s="11" t="s">
        <v>30</v>
      </c>
      <c r="F17" s="11">
        <v>15.0</v>
      </c>
      <c r="G17" s="11">
        <v>5.0</v>
      </c>
      <c r="H17" s="11" t="s">
        <v>27</v>
      </c>
      <c r="I17" s="11" t="s">
        <v>27</v>
      </c>
      <c r="J17" s="11" t="s">
        <v>20</v>
      </c>
      <c r="K17" s="11">
        <v>54.0</v>
      </c>
      <c r="L17" s="11">
        <v>19.0</v>
      </c>
      <c r="M17" s="11">
        <v>9.0</v>
      </c>
      <c r="N17" s="11">
        <v>48.0</v>
      </c>
      <c r="O17" s="11">
        <v>13.0</v>
      </c>
      <c r="P17" s="11">
        <v>0.0</v>
      </c>
    </row>
    <row r="18">
      <c r="A18" s="11" t="s">
        <v>40</v>
      </c>
      <c r="B18" s="11">
        <v>95.0</v>
      </c>
      <c r="C18" s="11">
        <v>10.0</v>
      </c>
      <c r="D18" s="11">
        <v>5.0</v>
      </c>
      <c r="E18" s="11" t="s">
        <v>30</v>
      </c>
      <c r="F18" s="11">
        <v>15.0</v>
      </c>
      <c r="G18" s="11">
        <v>5.0</v>
      </c>
      <c r="H18" s="11" t="s">
        <v>27</v>
      </c>
      <c r="I18" s="11" t="s">
        <v>27</v>
      </c>
      <c r="J18" s="11" t="s">
        <v>20</v>
      </c>
      <c r="K18" s="11">
        <v>34.0</v>
      </c>
      <c r="L18" s="11">
        <v>15.0</v>
      </c>
      <c r="M18" s="11">
        <v>6.0</v>
      </c>
      <c r="N18" s="11">
        <v>37.0</v>
      </c>
      <c r="O18" s="11">
        <v>8.0</v>
      </c>
      <c r="P18" s="11">
        <v>0.0</v>
      </c>
    </row>
    <row r="19">
      <c r="A19" s="11" t="s">
        <v>42</v>
      </c>
      <c r="B19" s="11">
        <v>95.0</v>
      </c>
      <c r="C19" s="11">
        <v>10.0</v>
      </c>
      <c r="D19" s="11">
        <v>5.0</v>
      </c>
      <c r="E19" s="11" t="s">
        <v>30</v>
      </c>
      <c r="F19" s="11">
        <v>15.0</v>
      </c>
      <c r="G19" s="11">
        <v>5.0</v>
      </c>
      <c r="H19" s="11" t="s">
        <v>27</v>
      </c>
      <c r="I19" s="11" t="s">
        <v>27</v>
      </c>
      <c r="J19" s="11" t="s">
        <v>20</v>
      </c>
      <c r="K19" s="11">
        <v>33.0</v>
      </c>
      <c r="L19" s="11">
        <v>12.0</v>
      </c>
      <c r="M19" s="11">
        <v>4.0</v>
      </c>
      <c r="N19" s="11">
        <v>37.0</v>
      </c>
      <c r="O19" s="11">
        <v>4.0</v>
      </c>
      <c r="P19" s="11">
        <v>0.0</v>
      </c>
    </row>
    <row r="20">
      <c r="A20" s="11" t="s">
        <v>45</v>
      </c>
      <c r="B20" s="11">
        <v>95.0</v>
      </c>
      <c r="C20" s="11">
        <v>10.0</v>
      </c>
      <c r="D20" s="11">
        <v>5.0</v>
      </c>
      <c r="E20" s="11" t="s">
        <v>30</v>
      </c>
      <c r="F20" s="11">
        <v>15.0</v>
      </c>
      <c r="G20" s="11">
        <v>5.0</v>
      </c>
      <c r="H20" s="11" t="s">
        <v>27</v>
      </c>
      <c r="I20" s="11" t="s">
        <v>27</v>
      </c>
      <c r="J20" s="11" t="s">
        <v>20</v>
      </c>
      <c r="K20" s="11">
        <v>44.0</v>
      </c>
      <c r="L20" s="11">
        <v>14.0</v>
      </c>
      <c r="M20" s="11">
        <v>4.0</v>
      </c>
      <c r="N20" s="11">
        <v>46.0</v>
      </c>
      <c r="O20" s="11">
        <v>5.0</v>
      </c>
      <c r="P20" s="11">
        <v>0.0</v>
      </c>
    </row>
    <row r="21" ht="15.75" customHeight="1">
      <c r="A21" s="11" t="s">
        <v>48</v>
      </c>
      <c r="B21" s="11">
        <v>30.0</v>
      </c>
      <c r="C21" s="11">
        <v>5.0</v>
      </c>
      <c r="D21" s="11">
        <v>5.0</v>
      </c>
      <c r="E21" s="11" t="s">
        <v>49</v>
      </c>
      <c r="F21" s="11">
        <v>5.0</v>
      </c>
      <c r="G21" s="11">
        <v>5.0</v>
      </c>
      <c r="H21" s="11" t="s">
        <v>27</v>
      </c>
      <c r="I21" s="11" t="s">
        <v>27</v>
      </c>
      <c r="J21" s="11" t="s">
        <v>20</v>
      </c>
      <c r="K21" s="11">
        <v>26.0</v>
      </c>
      <c r="L21" s="11">
        <v>7.0</v>
      </c>
      <c r="M21" s="11">
        <v>4.0</v>
      </c>
      <c r="N21" s="11">
        <v>62.0</v>
      </c>
      <c r="O21" s="11">
        <v>6.0</v>
      </c>
      <c r="P21" s="11">
        <v>0.0</v>
      </c>
    </row>
    <row r="22" ht="15.75" customHeight="1">
      <c r="A22" s="11" t="s">
        <v>50</v>
      </c>
      <c r="B22" s="11">
        <v>10.0</v>
      </c>
      <c r="C22" s="11">
        <v>5.0</v>
      </c>
      <c r="D22" s="11">
        <v>0.0</v>
      </c>
      <c r="E22" s="11">
        <v>30.0</v>
      </c>
      <c r="F22" s="11">
        <v>5.0</v>
      </c>
      <c r="G22" s="11">
        <v>5.0</v>
      </c>
      <c r="H22" s="11" t="s">
        <v>27</v>
      </c>
      <c r="I22" s="11" t="s">
        <v>20</v>
      </c>
      <c r="J22" s="11" t="s">
        <v>20</v>
      </c>
      <c r="K22" s="11">
        <v>21.0</v>
      </c>
      <c r="L22" s="11">
        <v>7.0</v>
      </c>
      <c r="M22" s="11">
        <v>4.0</v>
      </c>
      <c r="N22" s="11">
        <v>20.0</v>
      </c>
      <c r="O22" s="11">
        <v>0.0</v>
      </c>
      <c r="P22" s="11">
        <v>0.0</v>
      </c>
    </row>
    <row r="23" ht="15.75" customHeight="1">
      <c r="A23" s="11" t="s">
        <v>51</v>
      </c>
      <c r="B23" s="11">
        <v>10.0</v>
      </c>
      <c r="C23" s="11">
        <v>0.0</v>
      </c>
      <c r="D23" s="11">
        <v>0.0</v>
      </c>
      <c r="E23" s="11">
        <v>30.0</v>
      </c>
      <c r="F23" s="11">
        <v>5.0</v>
      </c>
      <c r="G23" s="11">
        <v>5.0</v>
      </c>
      <c r="H23" s="11" t="s">
        <v>27</v>
      </c>
      <c r="I23" s="11" t="s">
        <v>20</v>
      </c>
      <c r="J23" s="11" t="s">
        <v>20</v>
      </c>
      <c r="K23" s="11">
        <v>15.0</v>
      </c>
      <c r="L23" s="11">
        <v>7.0</v>
      </c>
      <c r="M23" s="11">
        <v>4.0</v>
      </c>
      <c r="N23" s="11">
        <v>12.0</v>
      </c>
      <c r="O23" s="11">
        <v>0.0</v>
      </c>
      <c r="P23" s="11">
        <v>0.0</v>
      </c>
    </row>
    <row r="24" ht="15.75" customHeight="1">
      <c r="A24" s="11" t="s">
        <v>53</v>
      </c>
      <c r="B24" s="11">
        <v>10.0</v>
      </c>
      <c r="C24" s="11">
        <v>0.0</v>
      </c>
      <c r="D24" s="11">
        <v>0.0</v>
      </c>
      <c r="E24" s="11">
        <v>20.0</v>
      </c>
      <c r="F24" s="11">
        <v>5.0</v>
      </c>
      <c r="G24" s="11">
        <v>5.0</v>
      </c>
      <c r="H24" s="11" t="s">
        <v>27</v>
      </c>
      <c r="I24" s="11" t="s">
        <v>20</v>
      </c>
      <c r="J24" s="11" t="s">
        <v>20</v>
      </c>
      <c r="K24" s="11">
        <v>17.0</v>
      </c>
      <c r="L24" s="11">
        <v>7.0</v>
      </c>
      <c r="M24" s="11">
        <v>4.0</v>
      </c>
      <c r="N24" s="11">
        <v>4.0</v>
      </c>
      <c r="O24" s="11">
        <v>0.0</v>
      </c>
      <c r="P24" s="11">
        <v>0.0</v>
      </c>
    </row>
    <row r="25" ht="15.75" customHeight="1">
      <c r="A25" s="11" t="s">
        <v>54</v>
      </c>
      <c r="B25" s="11">
        <v>10.0</v>
      </c>
      <c r="C25" s="11">
        <v>0.0</v>
      </c>
      <c r="D25" s="11">
        <v>0.0</v>
      </c>
      <c r="E25" s="11">
        <v>20.0</v>
      </c>
      <c r="F25" s="11">
        <v>5.0</v>
      </c>
      <c r="G25" s="11">
        <v>5.0</v>
      </c>
      <c r="H25" s="11" t="s">
        <v>27</v>
      </c>
      <c r="I25" s="11" t="s">
        <v>20</v>
      </c>
      <c r="J25" s="11" t="s">
        <v>20</v>
      </c>
      <c r="K25" s="11">
        <v>8.0</v>
      </c>
      <c r="L25" s="11">
        <v>9.0</v>
      </c>
      <c r="M25" s="11">
        <v>7.0</v>
      </c>
      <c r="N25" s="11">
        <v>4.0</v>
      </c>
      <c r="O25" s="11">
        <v>0.0</v>
      </c>
      <c r="P25" s="11">
        <v>0.0</v>
      </c>
    </row>
    <row r="26" ht="15.75" customHeight="1">
      <c r="A26" s="11" t="s">
        <v>55</v>
      </c>
      <c r="B26" s="11">
        <v>5.0</v>
      </c>
      <c r="C26" s="11">
        <v>0.0</v>
      </c>
      <c r="D26" s="11">
        <v>0.0</v>
      </c>
      <c r="E26" s="11">
        <v>10.0</v>
      </c>
      <c r="F26" s="11">
        <v>5.0</v>
      </c>
      <c r="G26" s="11">
        <v>5.0</v>
      </c>
      <c r="H26" s="11" t="s">
        <v>20</v>
      </c>
      <c r="I26" s="11" t="s">
        <v>20</v>
      </c>
      <c r="J26" s="11" t="s">
        <v>20</v>
      </c>
      <c r="K26" s="11">
        <v>5.0</v>
      </c>
      <c r="L26" s="11">
        <v>5.0</v>
      </c>
      <c r="M26" s="11">
        <v>4.0</v>
      </c>
      <c r="N26" s="11">
        <v>0.0</v>
      </c>
      <c r="O26" s="11">
        <v>0.0</v>
      </c>
      <c r="P26" s="11">
        <v>0.0</v>
      </c>
    </row>
    <row r="27" ht="15.75" customHeight="1">
      <c r="A27" s="11" t="s">
        <v>56</v>
      </c>
      <c r="B27" s="11">
        <v>5.0</v>
      </c>
      <c r="C27" s="11">
        <v>0.0</v>
      </c>
      <c r="D27" s="11">
        <v>0.0</v>
      </c>
      <c r="E27" s="11">
        <v>5.0</v>
      </c>
      <c r="F27" s="11">
        <v>5.0</v>
      </c>
      <c r="G27" s="11">
        <v>5.0</v>
      </c>
      <c r="H27" s="11" t="s">
        <v>20</v>
      </c>
      <c r="I27" s="11" t="s">
        <v>20</v>
      </c>
      <c r="J27" s="11" t="s">
        <v>20</v>
      </c>
      <c r="K27" s="11">
        <v>5.0</v>
      </c>
      <c r="L27" s="11">
        <v>5.0</v>
      </c>
      <c r="M27" s="11">
        <v>4.0</v>
      </c>
      <c r="N27" s="11">
        <v>0.0</v>
      </c>
      <c r="O27" s="11">
        <v>0.0</v>
      </c>
      <c r="P27" s="11">
        <v>0.0</v>
      </c>
    </row>
    <row r="28" ht="15.75" customHeight="1">
      <c r="A28" s="11" t="s">
        <v>57</v>
      </c>
      <c r="B28" s="11">
        <f t="shared" ref="B28:D28" si="1">SUM(B4:B27)</f>
        <v>920</v>
      </c>
      <c r="C28" s="11">
        <f t="shared" si="1"/>
        <v>200</v>
      </c>
      <c r="D28" s="11">
        <f t="shared" si="1"/>
        <v>60</v>
      </c>
      <c r="E28" s="11" t="s">
        <v>58</v>
      </c>
      <c r="F28" s="11">
        <v>280.0</v>
      </c>
      <c r="G28" s="11">
        <v>120.0</v>
      </c>
      <c r="H28" s="11">
        <v>1600.0</v>
      </c>
      <c r="I28" s="11">
        <v>1200.0</v>
      </c>
      <c r="J28" s="11">
        <v>0.0</v>
      </c>
      <c r="K28" s="11">
        <f t="shared" ref="K28:P28" si="2">SUM(K4:K27)</f>
        <v>537</v>
      </c>
      <c r="L28" s="11">
        <f t="shared" si="2"/>
        <v>256</v>
      </c>
      <c r="M28" s="11">
        <f t="shared" si="2"/>
        <v>113</v>
      </c>
      <c r="N28" s="11">
        <f t="shared" si="2"/>
        <v>555</v>
      </c>
      <c r="O28" s="11">
        <f t="shared" si="2"/>
        <v>151</v>
      </c>
      <c r="P28" s="11">
        <f t="shared" si="2"/>
        <v>0</v>
      </c>
    </row>
    <row r="29" ht="15.75" customHeight="1">
      <c r="A29" s="11" t="s">
        <v>59</v>
      </c>
      <c r="B29" s="17">
        <f>((B28/100)*5+C28/100+D28/100)</f>
        <v>48.6</v>
      </c>
      <c r="E29" s="18" t="s">
        <v>60</v>
      </c>
      <c r="H29" s="19">
        <f>((H28/100)*5+I28/100+J28/100)</f>
        <v>92</v>
      </c>
      <c r="K29" s="17">
        <f>((K28/100)*5+L28/100+M28/100)</f>
        <v>30.54</v>
      </c>
      <c r="N29" s="17">
        <f>((N28/100)*5+O28/100+P28/100)</f>
        <v>29.26</v>
      </c>
    </row>
    <row r="30" ht="15.75" customHeight="1">
      <c r="A30" s="11" t="s">
        <v>64</v>
      </c>
      <c r="B30" s="19">
        <f>B29*52.14</f>
        <v>2534.004</v>
      </c>
      <c r="E30" s="20" t="s">
        <v>65</v>
      </c>
      <c r="H30" s="19">
        <f>H29*52.14</f>
        <v>4796.88</v>
      </c>
      <c r="K30" s="19">
        <f>K29*52.14</f>
        <v>1592.3556</v>
      </c>
      <c r="N30" s="19">
        <f>N29*52.14</f>
        <v>1525.6164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A3"/>
    <mergeCell ref="B1:D1"/>
    <mergeCell ref="E1:G1"/>
    <mergeCell ref="H1:J2"/>
    <mergeCell ref="N1:P1"/>
    <mergeCell ref="B2:D2"/>
    <mergeCell ref="E2:G2"/>
    <mergeCell ref="N2:P2"/>
    <mergeCell ref="B30:D30"/>
    <mergeCell ref="E30:G30"/>
    <mergeCell ref="H30:J30"/>
    <mergeCell ref="K30:M30"/>
    <mergeCell ref="N30:P30"/>
    <mergeCell ref="K1:M1"/>
    <mergeCell ref="K2:M2"/>
    <mergeCell ref="B29:D29"/>
    <mergeCell ref="E29:G29"/>
    <mergeCell ref="H29:J29"/>
    <mergeCell ref="K29:M29"/>
    <mergeCell ref="N29:P29"/>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6" width="8.71"/>
    <col customWidth="1" min="7" max="7" width="9.71"/>
    <col customWidth="1" min="8" max="16" width="8.71"/>
  </cols>
  <sheetData>
    <row r="1">
      <c r="A1" s="3" t="s">
        <v>0</v>
      </c>
      <c r="B1" s="5" t="s">
        <v>2</v>
      </c>
      <c r="E1" s="5" t="s">
        <v>4</v>
      </c>
      <c r="H1" s="7" t="s">
        <v>5</v>
      </c>
      <c r="K1" s="5" t="s">
        <v>7</v>
      </c>
      <c r="N1" s="5" t="s">
        <v>8</v>
      </c>
    </row>
    <row r="2">
      <c r="B2" s="5" t="s">
        <v>10</v>
      </c>
      <c r="E2" s="5" t="s">
        <v>10</v>
      </c>
      <c r="K2" s="5" t="s">
        <v>10</v>
      </c>
      <c r="N2" s="5" t="s">
        <v>10</v>
      </c>
    </row>
    <row r="3">
      <c r="B3" s="11" t="s">
        <v>12</v>
      </c>
      <c r="C3" s="11" t="s">
        <v>14</v>
      </c>
      <c r="D3" s="11" t="s">
        <v>15</v>
      </c>
      <c r="E3" s="11" t="s">
        <v>12</v>
      </c>
      <c r="F3" s="11" t="s">
        <v>14</v>
      </c>
      <c r="G3" s="11" t="s">
        <v>15</v>
      </c>
      <c r="H3" s="11" t="s">
        <v>12</v>
      </c>
      <c r="I3" s="11" t="s">
        <v>14</v>
      </c>
      <c r="J3" s="11" t="s">
        <v>15</v>
      </c>
      <c r="K3" s="11" t="s">
        <v>12</v>
      </c>
      <c r="L3" s="11" t="s">
        <v>14</v>
      </c>
      <c r="M3" s="11" t="s">
        <v>15</v>
      </c>
      <c r="N3" s="11" t="s">
        <v>12</v>
      </c>
      <c r="O3" s="11" t="s">
        <v>14</v>
      </c>
      <c r="P3" s="11" t="s">
        <v>15</v>
      </c>
    </row>
    <row r="4">
      <c r="A4" s="11" t="s">
        <v>19</v>
      </c>
      <c r="B4" s="11">
        <v>0.0</v>
      </c>
      <c r="C4" s="11">
        <v>0.0</v>
      </c>
      <c r="D4" s="11">
        <v>0.0</v>
      </c>
      <c r="E4" s="11">
        <v>5.0</v>
      </c>
      <c r="F4" s="11">
        <v>5.0</v>
      </c>
      <c r="G4" s="11">
        <v>5.0</v>
      </c>
      <c r="H4" s="11" t="s">
        <v>20</v>
      </c>
      <c r="I4" s="11" t="s">
        <v>20</v>
      </c>
      <c r="J4" s="11" t="s">
        <v>20</v>
      </c>
      <c r="K4" s="11">
        <v>4.0</v>
      </c>
      <c r="L4" s="11">
        <v>11.0</v>
      </c>
      <c r="M4" s="11">
        <v>7.0</v>
      </c>
      <c r="N4" s="11">
        <v>0.0</v>
      </c>
      <c r="O4" s="11">
        <v>0.0</v>
      </c>
      <c r="P4" s="11">
        <v>0.0</v>
      </c>
    </row>
    <row r="5">
      <c r="A5" s="11" t="s">
        <v>21</v>
      </c>
      <c r="B5" s="11">
        <v>0.0</v>
      </c>
      <c r="C5" s="11">
        <v>0.0</v>
      </c>
      <c r="D5" s="11">
        <v>0.0</v>
      </c>
      <c r="E5" s="11">
        <v>5.0</v>
      </c>
      <c r="F5" s="11">
        <v>5.0</v>
      </c>
      <c r="G5" s="11">
        <v>5.0</v>
      </c>
      <c r="H5" s="11" t="s">
        <v>20</v>
      </c>
      <c r="I5" s="11" t="s">
        <v>20</v>
      </c>
      <c r="J5" s="11" t="s">
        <v>20</v>
      </c>
      <c r="K5" s="11">
        <v>5.0</v>
      </c>
      <c r="L5" s="11">
        <v>10.0</v>
      </c>
      <c r="M5" s="11">
        <v>7.0</v>
      </c>
      <c r="N5" s="11">
        <v>0.0</v>
      </c>
      <c r="O5" s="11">
        <v>0.0</v>
      </c>
      <c r="P5" s="11">
        <v>0.0</v>
      </c>
    </row>
    <row r="6">
      <c r="A6" s="11" t="s">
        <v>22</v>
      </c>
      <c r="B6" s="11">
        <v>0.0</v>
      </c>
      <c r="C6" s="11">
        <v>0.0</v>
      </c>
      <c r="D6" s="11">
        <v>0.0</v>
      </c>
      <c r="E6" s="11">
        <v>5.0</v>
      </c>
      <c r="F6" s="11">
        <v>5.0</v>
      </c>
      <c r="G6" s="11">
        <v>5.0</v>
      </c>
      <c r="H6" s="11" t="s">
        <v>20</v>
      </c>
      <c r="I6" s="11" t="s">
        <v>20</v>
      </c>
      <c r="J6" s="11" t="s">
        <v>20</v>
      </c>
      <c r="K6" s="11">
        <v>5.0</v>
      </c>
      <c r="L6" s="11">
        <v>8.0</v>
      </c>
      <c r="M6" s="11">
        <v>7.0</v>
      </c>
      <c r="N6" s="11">
        <v>0.0</v>
      </c>
      <c r="O6" s="11">
        <v>0.0</v>
      </c>
      <c r="P6" s="11">
        <v>0.0</v>
      </c>
    </row>
    <row r="7">
      <c r="A7" s="11" t="s">
        <v>23</v>
      </c>
      <c r="B7" s="11">
        <v>0.0</v>
      </c>
      <c r="C7" s="11">
        <v>0.0</v>
      </c>
      <c r="D7" s="11">
        <v>0.0</v>
      </c>
      <c r="E7" s="11">
        <v>5.0</v>
      </c>
      <c r="F7" s="11">
        <v>5.0</v>
      </c>
      <c r="G7" s="11">
        <v>5.0</v>
      </c>
      <c r="H7" s="11" t="s">
        <v>20</v>
      </c>
      <c r="I7" s="11" t="s">
        <v>20</v>
      </c>
      <c r="J7" s="11" t="s">
        <v>20</v>
      </c>
      <c r="K7" s="11">
        <v>4.0</v>
      </c>
      <c r="L7" s="11">
        <v>6.0</v>
      </c>
      <c r="M7" s="11">
        <v>6.0</v>
      </c>
      <c r="N7" s="11">
        <v>0.0</v>
      </c>
      <c r="O7" s="11">
        <v>0.0</v>
      </c>
      <c r="P7" s="11">
        <v>0.0</v>
      </c>
    </row>
    <row r="8">
      <c r="A8" s="11" t="s">
        <v>24</v>
      </c>
      <c r="B8" s="11">
        <v>0.0</v>
      </c>
      <c r="C8" s="11">
        <v>0.0</v>
      </c>
      <c r="D8" s="11">
        <v>0.0</v>
      </c>
      <c r="E8" s="11">
        <v>5.0</v>
      </c>
      <c r="F8" s="11">
        <v>5.0</v>
      </c>
      <c r="G8" s="11">
        <v>5.0</v>
      </c>
      <c r="H8" s="11" t="s">
        <v>20</v>
      </c>
      <c r="I8" s="11" t="s">
        <v>20</v>
      </c>
      <c r="J8" s="11" t="s">
        <v>20</v>
      </c>
      <c r="K8" s="11">
        <v>4.0</v>
      </c>
      <c r="L8" s="11">
        <v>6.0</v>
      </c>
      <c r="M8" s="11">
        <v>6.0</v>
      </c>
      <c r="N8" s="11">
        <v>0.0</v>
      </c>
      <c r="O8" s="11">
        <v>0.0</v>
      </c>
      <c r="P8" s="11">
        <v>0.0</v>
      </c>
    </row>
    <row r="9">
      <c r="A9" s="11" t="s">
        <v>25</v>
      </c>
      <c r="B9" s="11">
        <v>0.0</v>
      </c>
      <c r="C9" s="11">
        <v>0.0</v>
      </c>
      <c r="D9" s="11">
        <v>0.0</v>
      </c>
      <c r="E9" s="11">
        <v>5.0</v>
      </c>
      <c r="F9" s="11">
        <v>5.0</v>
      </c>
      <c r="G9" s="11">
        <v>5.0</v>
      </c>
      <c r="H9" s="11" t="s">
        <v>20</v>
      </c>
      <c r="I9" s="11" t="s">
        <v>20</v>
      </c>
      <c r="J9" s="11" t="s">
        <v>20</v>
      </c>
      <c r="K9" s="11">
        <v>4.0</v>
      </c>
      <c r="L9" s="11">
        <v>6.0</v>
      </c>
      <c r="M9" s="11">
        <v>6.0</v>
      </c>
      <c r="N9" s="11">
        <v>0.0</v>
      </c>
      <c r="O9" s="11">
        <v>0.0</v>
      </c>
      <c r="P9" s="11">
        <v>0.0</v>
      </c>
    </row>
    <row r="10">
      <c r="A10" s="11" t="s">
        <v>26</v>
      </c>
      <c r="B10" s="11">
        <v>0.0</v>
      </c>
      <c r="C10" s="11">
        <v>0.0</v>
      </c>
      <c r="D10" s="11">
        <v>0.0</v>
      </c>
      <c r="E10" s="11">
        <v>5.0</v>
      </c>
      <c r="F10" s="11">
        <v>5.0</v>
      </c>
      <c r="G10" s="11">
        <v>5.0</v>
      </c>
      <c r="H10" s="11" t="s">
        <v>27</v>
      </c>
      <c r="I10" s="11" t="s">
        <v>27</v>
      </c>
      <c r="J10" s="11" t="s">
        <v>20</v>
      </c>
      <c r="K10" s="11">
        <v>4.0</v>
      </c>
      <c r="L10" s="11">
        <v>7.0</v>
      </c>
      <c r="M10" s="11">
        <v>7.0</v>
      </c>
      <c r="N10" s="11">
        <v>0.0</v>
      </c>
      <c r="O10" s="11">
        <v>0.0</v>
      </c>
      <c r="P10" s="11">
        <v>0.0</v>
      </c>
    </row>
    <row r="11">
      <c r="A11" s="11" t="s">
        <v>28</v>
      </c>
      <c r="B11" s="11">
        <v>10.0</v>
      </c>
      <c r="C11" s="11">
        <v>10.0</v>
      </c>
      <c r="D11" s="11">
        <v>0.0</v>
      </c>
      <c r="E11" s="11">
        <v>20.0</v>
      </c>
      <c r="F11" s="11">
        <v>10.0</v>
      </c>
      <c r="G11" s="11">
        <v>5.0</v>
      </c>
      <c r="H11" s="11" t="s">
        <v>27</v>
      </c>
      <c r="I11" s="11" t="s">
        <v>27</v>
      </c>
      <c r="J11" s="11" t="s">
        <v>20</v>
      </c>
      <c r="K11" s="11">
        <v>15.0</v>
      </c>
      <c r="L11" s="11">
        <v>20.0</v>
      </c>
      <c r="M11" s="11">
        <v>10.0</v>
      </c>
      <c r="N11" s="11">
        <v>12.0</v>
      </c>
      <c r="O11" s="11">
        <v>9.0</v>
      </c>
      <c r="P11" s="11">
        <v>0.0</v>
      </c>
    </row>
    <row r="12">
      <c r="A12" s="11" t="s">
        <v>29</v>
      </c>
      <c r="B12" s="11">
        <v>20.0</v>
      </c>
      <c r="C12" s="11">
        <v>20.0</v>
      </c>
      <c r="D12" s="11">
        <v>0.0</v>
      </c>
      <c r="E12" s="11">
        <v>50.0</v>
      </c>
      <c r="F12" s="11">
        <v>30.0</v>
      </c>
      <c r="G12" s="11">
        <v>10.0</v>
      </c>
      <c r="H12" s="11" t="s">
        <v>27</v>
      </c>
      <c r="I12" s="11" t="s">
        <v>27</v>
      </c>
      <c r="J12" s="11" t="s">
        <v>27</v>
      </c>
      <c r="K12" s="11">
        <v>23.0</v>
      </c>
      <c r="L12" s="11">
        <v>24.0</v>
      </c>
      <c r="M12" s="11">
        <v>12.0</v>
      </c>
      <c r="N12" s="11">
        <v>22.0</v>
      </c>
      <c r="O12" s="11">
        <v>21.0</v>
      </c>
      <c r="P12" s="11">
        <v>0.0</v>
      </c>
    </row>
    <row r="13">
      <c r="A13" s="11" t="s">
        <v>31</v>
      </c>
      <c r="B13" s="11">
        <v>50.0</v>
      </c>
      <c r="C13" s="11">
        <v>50.0</v>
      </c>
      <c r="D13" s="11">
        <v>10.0</v>
      </c>
      <c r="E13" s="11" t="s">
        <v>35</v>
      </c>
      <c r="F13" s="11" t="s">
        <v>37</v>
      </c>
      <c r="G13" s="11">
        <v>10.0</v>
      </c>
      <c r="H13" s="11" t="s">
        <v>27</v>
      </c>
      <c r="I13" s="11" t="s">
        <v>27</v>
      </c>
      <c r="J13" s="11" t="s">
        <v>27</v>
      </c>
      <c r="K13" s="11">
        <v>32.0</v>
      </c>
      <c r="L13" s="11">
        <v>27.0</v>
      </c>
      <c r="M13" s="11">
        <v>14.0</v>
      </c>
      <c r="N13" s="11">
        <v>64.0</v>
      </c>
      <c r="O13" s="11">
        <v>56.0</v>
      </c>
      <c r="P13" s="11">
        <v>11.0</v>
      </c>
    </row>
    <row r="14">
      <c r="A14" s="11" t="s">
        <v>32</v>
      </c>
      <c r="B14" s="11">
        <v>50.0</v>
      </c>
      <c r="C14" s="11">
        <v>60.0</v>
      </c>
      <c r="D14" s="11">
        <v>20.0</v>
      </c>
      <c r="E14" s="11" t="s">
        <v>35</v>
      </c>
      <c r="F14" s="11" t="s">
        <v>35</v>
      </c>
      <c r="G14" s="11">
        <v>40.0</v>
      </c>
      <c r="H14" s="11" t="s">
        <v>27</v>
      </c>
      <c r="I14" s="11" t="s">
        <v>27</v>
      </c>
      <c r="J14" s="11" t="s">
        <v>27</v>
      </c>
      <c r="K14" s="11">
        <v>41.0</v>
      </c>
      <c r="L14" s="11">
        <v>42.0</v>
      </c>
      <c r="M14" s="11">
        <v>29.0</v>
      </c>
      <c r="N14" s="11">
        <v>74.0</v>
      </c>
      <c r="O14" s="11">
        <v>66.0</v>
      </c>
      <c r="P14" s="11">
        <v>13.0</v>
      </c>
    </row>
    <row r="15">
      <c r="A15" s="11" t="s">
        <v>33</v>
      </c>
      <c r="B15" s="11">
        <v>70.0</v>
      </c>
      <c r="C15" s="11">
        <v>80.0</v>
      </c>
      <c r="D15" s="11">
        <v>20.0</v>
      </c>
      <c r="E15" s="11" t="s">
        <v>35</v>
      </c>
      <c r="F15" s="11" t="s">
        <v>35</v>
      </c>
      <c r="G15" s="11">
        <v>40.0</v>
      </c>
      <c r="H15" s="11" t="s">
        <v>27</v>
      </c>
      <c r="I15" s="11" t="s">
        <v>27</v>
      </c>
      <c r="J15" s="11" t="s">
        <v>27</v>
      </c>
      <c r="K15" s="11">
        <v>57.0</v>
      </c>
      <c r="L15" s="11">
        <v>54.0</v>
      </c>
      <c r="M15" s="11">
        <v>31.0</v>
      </c>
      <c r="N15" s="11">
        <v>68.0</v>
      </c>
      <c r="O15" s="11">
        <v>68.0</v>
      </c>
      <c r="P15" s="11">
        <v>35.0</v>
      </c>
    </row>
    <row r="16">
      <c r="A16" s="11" t="s">
        <v>36</v>
      </c>
      <c r="B16" s="11">
        <v>70.0</v>
      </c>
      <c r="C16" s="11">
        <v>80.0</v>
      </c>
      <c r="D16" s="11">
        <v>40.0</v>
      </c>
      <c r="E16" s="11" t="s">
        <v>35</v>
      </c>
      <c r="F16" s="11" t="s">
        <v>35</v>
      </c>
      <c r="G16" s="11" t="s">
        <v>37</v>
      </c>
      <c r="H16" s="11" t="s">
        <v>27</v>
      </c>
      <c r="I16" s="11" t="s">
        <v>27</v>
      </c>
      <c r="J16" s="11" t="s">
        <v>27</v>
      </c>
      <c r="K16" s="11">
        <v>62.0</v>
      </c>
      <c r="L16" s="11">
        <v>59.0</v>
      </c>
      <c r="M16" s="11">
        <v>36.0</v>
      </c>
      <c r="N16" s="11">
        <v>68.0</v>
      </c>
      <c r="O16" s="11">
        <v>68.0</v>
      </c>
      <c r="P16" s="11">
        <v>37.0</v>
      </c>
    </row>
    <row r="17">
      <c r="A17" s="11" t="s">
        <v>39</v>
      </c>
      <c r="B17" s="11">
        <v>70.0</v>
      </c>
      <c r="C17" s="11">
        <v>80.0</v>
      </c>
      <c r="D17" s="11">
        <v>40.0</v>
      </c>
      <c r="E17" s="11" t="s">
        <v>35</v>
      </c>
      <c r="F17" s="11" t="s">
        <v>35</v>
      </c>
      <c r="G17" s="11" t="s">
        <v>37</v>
      </c>
      <c r="H17" s="11" t="s">
        <v>27</v>
      </c>
      <c r="I17" s="11" t="s">
        <v>27</v>
      </c>
      <c r="J17" s="11" t="s">
        <v>27</v>
      </c>
      <c r="K17" s="11">
        <v>61.0</v>
      </c>
      <c r="L17" s="11">
        <v>60.0</v>
      </c>
      <c r="M17" s="11">
        <v>36.0</v>
      </c>
      <c r="N17" s="11">
        <v>71.0</v>
      </c>
      <c r="O17" s="11">
        <v>69.0</v>
      </c>
      <c r="P17" s="11">
        <v>37.0</v>
      </c>
    </row>
    <row r="18">
      <c r="A18" s="11" t="s">
        <v>40</v>
      </c>
      <c r="B18" s="11">
        <v>70.0</v>
      </c>
      <c r="C18" s="11">
        <v>80.0</v>
      </c>
      <c r="D18" s="11">
        <v>40.0</v>
      </c>
      <c r="E18" s="11" t="s">
        <v>35</v>
      </c>
      <c r="F18" s="11" t="s">
        <v>35</v>
      </c>
      <c r="G18" s="11" t="s">
        <v>37</v>
      </c>
      <c r="H18" s="11" t="s">
        <v>27</v>
      </c>
      <c r="I18" s="11" t="s">
        <v>27</v>
      </c>
      <c r="J18" s="11" t="s">
        <v>27</v>
      </c>
      <c r="K18" s="11">
        <v>50.0</v>
      </c>
      <c r="L18" s="11">
        <v>49.0</v>
      </c>
      <c r="M18" s="11">
        <v>34.0</v>
      </c>
      <c r="N18" s="11">
        <v>72.0</v>
      </c>
      <c r="O18" s="11">
        <v>70.0</v>
      </c>
      <c r="P18" s="11">
        <v>39.0</v>
      </c>
    </row>
    <row r="19">
      <c r="A19" s="11" t="s">
        <v>42</v>
      </c>
      <c r="B19" s="11">
        <v>80.0</v>
      </c>
      <c r="C19" s="11">
        <v>80.0</v>
      </c>
      <c r="D19" s="11">
        <v>40.0</v>
      </c>
      <c r="E19" s="11" t="s">
        <v>35</v>
      </c>
      <c r="F19" s="11" t="s">
        <v>35</v>
      </c>
      <c r="G19" s="11" t="s">
        <v>37</v>
      </c>
      <c r="H19" s="11" t="s">
        <v>27</v>
      </c>
      <c r="I19" s="11" t="s">
        <v>27</v>
      </c>
      <c r="J19" s="11" t="s">
        <v>27</v>
      </c>
      <c r="K19" s="11">
        <v>45.0</v>
      </c>
      <c r="L19" s="11">
        <v>48.0</v>
      </c>
      <c r="M19" s="11">
        <v>35.0</v>
      </c>
      <c r="N19" s="11">
        <v>72.0</v>
      </c>
      <c r="O19" s="11">
        <v>69.0</v>
      </c>
      <c r="P19" s="11">
        <v>41.0</v>
      </c>
    </row>
    <row r="20">
      <c r="A20" s="11" t="s">
        <v>45</v>
      </c>
      <c r="B20" s="11">
        <v>70.0</v>
      </c>
      <c r="C20" s="11">
        <v>80.0</v>
      </c>
      <c r="D20" s="11">
        <v>40.0</v>
      </c>
      <c r="E20" s="11" t="s">
        <v>35</v>
      </c>
      <c r="F20" s="11" t="s">
        <v>35</v>
      </c>
      <c r="G20" s="11" t="s">
        <v>37</v>
      </c>
      <c r="H20" s="11" t="s">
        <v>27</v>
      </c>
      <c r="I20" s="11" t="s">
        <v>27</v>
      </c>
      <c r="J20" s="11" t="s">
        <v>27</v>
      </c>
      <c r="K20" s="11">
        <v>46.0</v>
      </c>
      <c r="L20" s="11">
        <v>47.0</v>
      </c>
      <c r="M20" s="11">
        <v>37.0</v>
      </c>
      <c r="N20" s="11">
        <v>73.0</v>
      </c>
      <c r="O20" s="11">
        <v>66.0</v>
      </c>
      <c r="P20" s="11">
        <v>38.0</v>
      </c>
    </row>
    <row r="21" ht="15.75" customHeight="1">
      <c r="A21" s="11" t="s">
        <v>48</v>
      </c>
      <c r="B21" s="11">
        <v>50.0</v>
      </c>
      <c r="C21" s="11">
        <v>60.0</v>
      </c>
      <c r="D21" s="11">
        <v>20.0</v>
      </c>
      <c r="E21" s="11" t="s">
        <v>35</v>
      </c>
      <c r="F21" s="11" t="s">
        <v>35</v>
      </c>
      <c r="G21" s="11">
        <v>40.0</v>
      </c>
      <c r="H21" s="11" t="s">
        <v>27</v>
      </c>
      <c r="I21" s="11" t="s">
        <v>27</v>
      </c>
      <c r="J21" s="11" t="s">
        <v>20</v>
      </c>
      <c r="K21" s="11">
        <v>47.0</v>
      </c>
      <c r="L21" s="11">
        <v>46.0</v>
      </c>
      <c r="M21" s="11">
        <v>34.0</v>
      </c>
      <c r="N21" s="11">
        <v>68.0</v>
      </c>
      <c r="O21" s="11">
        <v>58.0</v>
      </c>
      <c r="P21" s="11">
        <v>34.0</v>
      </c>
    </row>
    <row r="22" ht="15.75" customHeight="1">
      <c r="A22" s="11" t="s">
        <v>50</v>
      </c>
      <c r="B22" s="11">
        <v>50.0</v>
      </c>
      <c r="C22" s="11">
        <v>20.0</v>
      </c>
      <c r="D22" s="11">
        <v>10.0</v>
      </c>
      <c r="E22" s="11" t="s">
        <v>37</v>
      </c>
      <c r="F22" s="11">
        <v>50.0</v>
      </c>
      <c r="G22" s="11">
        <v>20.0</v>
      </c>
      <c r="H22" s="11" t="s">
        <v>27</v>
      </c>
      <c r="I22" s="11" t="s">
        <v>27</v>
      </c>
      <c r="J22" s="11" t="s">
        <v>20</v>
      </c>
      <c r="K22" s="11">
        <v>42.0</v>
      </c>
      <c r="L22" s="11">
        <v>44.0</v>
      </c>
      <c r="M22" s="11">
        <v>25.0</v>
      </c>
      <c r="N22" s="11">
        <v>68.0</v>
      </c>
      <c r="O22" s="11">
        <v>47.0</v>
      </c>
      <c r="P22" s="11">
        <v>3.0</v>
      </c>
    </row>
    <row r="23" ht="15.75" customHeight="1">
      <c r="A23" s="11" t="s">
        <v>51</v>
      </c>
      <c r="B23" s="11">
        <v>30.0</v>
      </c>
      <c r="C23" s="11">
        <v>20.0</v>
      </c>
      <c r="D23" s="11">
        <v>0.0</v>
      </c>
      <c r="E23" s="11" t="s">
        <v>37</v>
      </c>
      <c r="F23" s="11">
        <v>30.0</v>
      </c>
      <c r="G23" s="11">
        <v>5.0</v>
      </c>
      <c r="H23" s="11" t="s">
        <v>27</v>
      </c>
      <c r="I23" s="11" t="s">
        <v>27</v>
      </c>
      <c r="J23" s="11" t="s">
        <v>20</v>
      </c>
      <c r="K23" s="11">
        <v>34.0</v>
      </c>
      <c r="L23" s="11">
        <v>36.0</v>
      </c>
      <c r="M23" s="11">
        <v>27.0</v>
      </c>
      <c r="N23" s="11">
        <v>58.0</v>
      </c>
      <c r="O23" s="11">
        <v>43.0</v>
      </c>
      <c r="P23" s="11">
        <v>0.0</v>
      </c>
    </row>
    <row r="24" ht="15.75" customHeight="1">
      <c r="A24" s="11" t="s">
        <v>53</v>
      </c>
      <c r="B24" s="11">
        <v>30.0</v>
      </c>
      <c r="C24" s="11">
        <v>20.0</v>
      </c>
      <c r="D24" s="11">
        <v>0.0</v>
      </c>
      <c r="E24" s="11">
        <v>50.0</v>
      </c>
      <c r="F24" s="11">
        <v>30.0</v>
      </c>
      <c r="G24" s="11">
        <v>5.0</v>
      </c>
      <c r="H24" s="11" t="s">
        <v>27</v>
      </c>
      <c r="I24" s="11" t="s">
        <v>27</v>
      </c>
      <c r="J24" s="11" t="s">
        <v>20</v>
      </c>
      <c r="K24" s="11">
        <v>33.0</v>
      </c>
      <c r="L24" s="11">
        <v>29.0</v>
      </c>
      <c r="M24" s="11">
        <v>21.0</v>
      </c>
      <c r="N24" s="11">
        <v>54.0</v>
      </c>
      <c r="O24" s="11">
        <v>43.0</v>
      </c>
      <c r="P24" s="11">
        <v>0.0</v>
      </c>
    </row>
    <row r="25" ht="15.75" customHeight="1">
      <c r="A25" s="11" t="s">
        <v>54</v>
      </c>
      <c r="B25" s="11">
        <v>0.0</v>
      </c>
      <c r="C25" s="11">
        <v>10.0</v>
      </c>
      <c r="D25" s="11">
        <v>0.0</v>
      </c>
      <c r="E25" s="11">
        <v>20.0</v>
      </c>
      <c r="F25" s="11">
        <v>10.0</v>
      </c>
      <c r="G25" s="11">
        <v>5.0</v>
      </c>
      <c r="H25" s="11" t="s">
        <v>20</v>
      </c>
      <c r="I25" s="11" t="s">
        <v>27</v>
      </c>
      <c r="J25" s="11" t="s">
        <v>20</v>
      </c>
      <c r="K25" s="11">
        <v>23.0</v>
      </c>
      <c r="L25" s="11">
        <v>22.0</v>
      </c>
      <c r="M25" s="11">
        <v>16.0</v>
      </c>
      <c r="N25" s="11">
        <v>0.0</v>
      </c>
      <c r="O25" s="11">
        <v>8.0</v>
      </c>
      <c r="P25" s="11">
        <v>0.0</v>
      </c>
    </row>
    <row r="26" ht="15.75" customHeight="1">
      <c r="A26" s="11" t="s">
        <v>55</v>
      </c>
      <c r="B26" s="11">
        <v>0.0</v>
      </c>
      <c r="C26" s="11">
        <v>0.0</v>
      </c>
      <c r="D26" s="11">
        <v>0.0</v>
      </c>
      <c r="E26" s="11">
        <v>5.0</v>
      </c>
      <c r="F26" s="11">
        <v>5.0</v>
      </c>
      <c r="G26" s="11">
        <v>5.0</v>
      </c>
      <c r="H26" s="11" t="s">
        <v>20</v>
      </c>
      <c r="I26" s="11" t="s">
        <v>20</v>
      </c>
      <c r="J26" s="11" t="s">
        <v>20</v>
      </c>
      <c r="K26" s="11">
        <v>13.0</v>
      </c>
      <c r="L26" s="11">
        <v>16.0</v>
      </c>
      <c r="M26" s="11">
        <v>10.0</v>
      </c>
      <c r="N26" s="11">
        <v>0.0</v>
      </c>
      <c r="O26" s="11">
        <v>0.0</v>
      </c>
      <c r="P26" s="11">
        <v>0.0</v>
      </c>
    </row>
    <row r="27" ht="15.75" customHeight="1">
      <c r="A27" s="11" t="s">
        <v>56</v>
      </c>
      <c r="B27" s="11">
        <v>0.0</v>
      </c>
      <c r="C27" s="11">
        <v>0.0</v>
      </c>
      <c r="D27" s="11">
        <v>0.0</v>
      </c>
      <c r="E27" s="11">
        <v>5.0</v>
      </c>
      <c r="F27" s="11">
        <v>5.0</v>
      </c>
      <c r="G27" s="11">
        <v>5.0</v>
      </c>
      <c r="H27" s="11" t="s">
        <v>20</v>
      </c>
      <c r="I27" s="11" t="s">
        <v>20</v>
      </c>
      <c r="J27" s="11" t="s">
        <v>20</v>
      </c>
      <c r="K27" s="11">
        <v>8.0</v>
      </c>
      <c r="L27" s="11">
        <v>13.0</v>
      </c>
      <c r="M27" s="11">
        <v>6.0</v>
      </c>
      <c r="N27" s="11">
        <v>0.0</v>
      </c>
      <c r="O27" s="11">
        <v>0.0</v>
      </c>
      <c r="P27" s="11">
        <v>0.0</v>
      </c>
    </row>
    <row r="28" ht="15.75" customHeight="1">
      <c r="A28" s="11" t="s">
        <v>57</v>
      </c>
      <c r="B28" s="11">
        <f t="shared" ref="B28:D28" si="1">SUM(B4:B27)</f>
        <v>720</v>
      </c>
      <c r="C28" s="11">
        <f t="shared" si="1"/>
        <v>750</v>
      </c>
      <c r="D28" s="11">
        <f t="shared" si="1"/>
        <v>280</v>
      </c>
      <c r="E28" s="11" t="s">
        <v>61</v>
      </c>
      <c r="F28" s="11" t="s">
        <v>62</v>
      </c>
      <c r="G28" s="11" t="s">
        <v>63</v>
      </c>
      <c r="H28" s="11">
        <v>1500.0</v>
      </c>
      <c r="I28" s="11">
        <v>1600.0</v>
      </c>
      <c r="J28" s="11">
        <v>900.0</v>
      </c>
      <c r="K28" s="11">
        <f t="shared" ref="K28:P28" si="2">SUM(K4:K27)</f>
        <v>662</v>
      </c>
      <c r="L28" s="11">
        <f t="shared" si="2"/>
        <v>690</v>
      </c>
      <c r="M28" s="11">
        <f t="shared" si="2"/>
        <v>459</v>
      </c>
      <c r="N28" s="11">
        <f t="shared" si="2"/>
        <v>844</v>
      </c>
      <c r="O28" s="11">
        <f t="shared" si="2"/>
        <v>761</v>
      </c>
      <c r="P28" s="11">
        <f t="shared" si="2"/>
        <v>288</v>
      </c>
    </row>
    <row r="29" ht="15.75" customHeight="1">
      <c r="A29" s="11" t="s">
        <v>59</v>
      </c>
      <c r="B29" s="17">
        <f>((B28/100)*5+C28/100+D28/100)</f>
        <v>46.3</v>
      </c>
      <c r="E29" s="18" t="s">
        <v>66</v>
      </c>
      <c r="H29" s="19">
        <f>((H28/100)*5+I28/100+J28/100)</f>
        <v>100</v>
      </c>
      <c r="K29" s="17">
        <f>((K28/100)*5+L28/100+M28/100)</f>
        <v>44.59</v>
      </c>
      <c r="N29" s="17">
        <f>((N28/100)*5+O28/100+P28/100)</f>
        <v>52.69</v>
      </c>
    </row>
    <row r="30" ht="15.75" customHeight="1">
      <c r="A30" s="11" t="s">
        <v>64</v>
      </c>
      <c r="B30" s="19">
        <f>B29*52.14</f>
        <v>2414.082</v>
      </c>
      <c r="E30" s="20" t="s">
        <v>71</v>
      </c>
      <c r="H30" s="19">
        <f>H29*52.14</f>
        <v>5214</v>
      </c>
      <c r="K30" s="19">
        <f>K29*52.14</f>
        <v>2324.9226</v>
      </c>
      <c r="N30" s="19">
        <f>N29*52.14</f>
        <v>2747.2566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A3"/>
    <mergeCell ref="B1:D1"/>
    <mergeCell ref="E1:G1"/>
    <mergeCell ref="H1:J2"/>
    <mergeCell ref="N1:P1"/>
    <mergeCell ref="B2:D2"/>
    <mergeCell ref="E2:G2"/>
    <mergeCell ref="N2:P2"/>
    <mergeCell ref="B30:D30"/>
    <mergeCell ref="E30:G30"/>
    <mergeCell ref="H30:J30"/>
    <mergeCell ref="K30:M30"/>
    <mergeCell ref="N30:P30"/>
    <mergeCell ref="K1:M1"/>
    <mergeCell ref="K2:M2"/>
    <mergeCell ref="B29:D29"/>
    <mergeCell ref="E29:G29"/>
    <mergeCell ref="H29:J29"/>
    <mergeCell ref="K29:M29"/>
    <mergeCell ref="N29:P29"/>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6" width="8.71"/>
    <col customWidth="1" min="7" max="7" width="9.71"/>
    <col customWidth="1" min="8" max="13" width="8.71"/>
  </cols>
  <sheetData>
    <row r="1">
      <c r="A1" s="3" t="s">
        <v>0</v>
      </c>
      <c r="B1" s="5" t="s">
        <v>2</v>
      </c>
      <c r="E1" s="5" t="s">
        <v>4</v>
      </c>
      <c r="H1" s="16" t="s">
        <v>41</v>
      </c>
      <c r="J1" s="5" t="s">
        <v>7</v>
      </c>
      <c r="M1" s="5"/>
    </row>
    <row r="2">
      <c r="B2" s="5" t="s">
        <v>10</v>
      </c>
      <c r="E2" s="5" t="s">
        <v>10</v>
      </c>
      <c r="J2" s="5" t="s">
        <v>10</v>
      </c>
      <c r="M2" s="5"/>
    </row>
    <row r="3">
      <c r="B3" s="11" t="s">
        <v>12</v>
      </c>
      <c r="C3" s="11" t="s">
        <v>14</v>
      </c>
      <c r="D3" s="11" t="s">
        <v>15</v>
      </c>
      <c r="E3" s="11" t="s">
        <v>12</v>
      </c>
      <c r="F3" s="11" t="s">
        <v>14</v>
      </c>
      <c r="G3" s="11" t="s">
        <v>15</v>
      </c>
      <c r="H3" s="11" t="s">
        <v>46</v>
      </c>
      <c r="I3" s="11" t="s">
        <v>47</v>
      </c>
      <c r="J3" s="11" t="s">
        <v>12</v>
      </c>
      <c r="K3" s="11" t="s">
        <v>14</v>
      </c>
      <c r="L3" s="11" t="s">
        <v>15</v>
      </c>
    </row>
    <row r="4">
      <c r="A4" s="11" t="s">
        <v>19</v>
      </c>
      <c r="B4" s="11">
        <v>1.6</v>
      </c>
      <c r="C4" s="11">
        <v>1.6</v>
      </c>
      <c r="D4" s="11">
        <v>1.6</v>
      </c>
      <c r="E4" s="11">
        <v>5.0</v>
      </c>
      <c r="F4" s="11">
        <v>5.0</v>
      </c>
      <c r="G4" s="11">
        <v>5.0</v>
      </c>
      <c r="H4" s="11">
        <v>70.0</v>
      </c>
      <c r="I4" s="11">
        <v>78.0</v>
      </c>
      <c r="J4" s="11">
        <v>5.0</v>
      </c>
      <c r="K4" s="11">
        <v>5.0</v>
      </c>
      <c r="L4" s="11">
        <v>5.0</v>
      </c>
    </row>
    <row r="5">
      <c r="A5" s="11" t="s">
        <v>21</v>
      </c>
      <c r="B5" s="11">
        <v>1.6</v>
      </c>
      <c r="C5" s="11">
        <v>1.6</v>
      </c>
      <c r="D5" s="11">
        <v>1.6</v>
      </c>
      <c r="E5" s="11">
        <v>5.0</v>
      </c>
      <c r="F5" s="11">
        <v>5.0</v>
      </c>
      <c r="G5" s="11">
        <v>5.0</v>
      </c>
      <c r="H5" s="11">
        <v>70.0</v>
      </c>
      <c r="I5" s="11">
        <v>78.0</v>
      </c>
      <c r="J5" s="11">
        <v>5.0</v>
      </c>
      <c r="K5" s="11">
        <v>5.0</v>
      </c>
      <c r="L5" s="11">
        <v>5.0</v>
      </c>
    </row>
    <row r="6">
      <c r="A6" s="11" t="s">
        <v>22</v>
      </c>
      <c r="B6" s="11">
        <v>1.6</v>
      </c>
      <c r="C6" s="11">
        <v>1.6</v>
      </c>
      <c r="D6" s="11">
        <v>1.6</v>
      </c>
      <c r="E6" s="11">
        <v>5.0</v>
      </c>
      <c r="F6" s="11">
        <v>5.0</v>
      </c>
      <c r="G6" s="11">
        <v>5.0</v>
      </c>
      <c r="H6" s="11">
        <v>70.0</v>
      </c>
      <c r="I6" s="11">
        <v>78.0</v>
      </c>
      <c r="J6" s="11">
        <v>5.0</v>
      </c>
      <c r="K6" s="11">
        <v>5.0</v>
      </c>
      <c r="L6" s="11">
        <v>5.0</v>
      </c>
    </row>
    <row r="7">
      <c r="A7" s="11" t="s">
        <v>23</v>
      </c>
      <c r="B7" s="11">
        <v>1.6</v>
      </c>
      <c r="C7" s="11">
        <v>1.6</v>
      </c>
      <c r="D7" s="11">
        <v>1.6</v>
      </c>
      <c r="E7" s="11">
        <v>5.0</v>
      </c>
      <c r="F7" s="11">
        <v>5.0</v>
      </c>
      <c r="G7" s="11">
        <v>5.0</v>
      </c>
      <c r="H7" s="11">
        <v>70.0</v>
      </c>
      <c r="I7" s="11">
        <v>78.0</v>
      </c>
      <c r="J7" s="11">
        <v>5.0</v>
      </c>
      <c r="K7" s="11">
        <v>5.0</v>
      </c>
      <c r="L7" s="11">
        <v>5.0</v>
      </c>
    </row>
    <row r="8">
      <c r="A8" s="11" t="s">
        <v>24</v>
      </c>
      <c r="B8" s="11">
        <v>1.6</v>
      </c>
      <c r="C8" s="11">
        <v>1.6</v>
      </c>
      <c r="D8" s="11">
        <v>1.6</v>
      </c>
      <c r="E8" s="11">
        <v>5.0</v>
      </c>
      <c r="F8" s="11">
        <v>5.0</v>
      </c>
      <c r="G8" s="11">
        <v>5.0</v>
      </c>
      <c r="H8" s="11">
        <v>70.0</v>
      </c>
      <c r="I8" s="11">
        <v>78.0</v>
      </c>
      <c r="J8" s="11">
        <v>5.0</v>
      </c>
      <c r="K8" s="11">
        <v>5.0</v>
      </c>
      <c r="L8" s="11">
        <v>5.0</v>
      </c>
    </row>
    <row r="9">
      <c r="A9" s="11" t="s">
        <v>25</v>
      </c>
      <c r="B9" s="11">
        <v>1.6</v>
      </c>
      <c r="C9" s="11">
        <v>1.6</v>
      </c>
      <c r="D9" s="11">
        <v>1.6</v>
      </c>
      <c r="E9" s="11">
        <v>5.0</v>
      </c>
      <c r="F9" s="11">
        <v>5.0</v>
      </c>
      <c r="G9" s="11">
        <v>5.0</v>
      </c>
      <c r="H9" s="11">
        <v>70.0</v>
      </c>
      <c r="I9" s="11">
        <v>78.0</v>
      </c>
      <c r="J9" s="11">
        <v>5.0</v>
      </c>
      <c r="K9" s="11">
        <v>5.0</v>
      </c>
      <c r="L9" s="11">
        <v>5.0</v>
      </c>
    </row>
    <row r="10">
      <c r="A10" s="11" t="s">
        <v>26</v>
      </c>
      <c r="B10" s="11">
        <v>7.7</v>
      </c>
      <c r="C10" s="11">
        <v>7.7</v>
      </c>
      <c r="D10" s="11">
        <v>7.7</v>
      </c>
      <c r="E10" s="11">
        <v>5.0</v>
      </c>
      <c r="F10" s="11">
        <v>5.0</v>
      </c>
      <c r="G10" s="11">
        <v>5.0</v>
      </c>
      <c r="H10" s="11">
        <v>72.0</v>
      </c>
      <c r="I10" s="11">
        <v>78.0</v>
      </c>
      <c r="J10" s="11">
        <v>30.0</v>
      </c>
      <c r="K10" s="11">
        <v>30.0</v>
      </c>
      <c r="L10" s="11">
        <v>30.0</v>
      </c>
    </row>
    <row r="11">
      <c r="A11" s="11" t="s">
        <v>28</v>
      </c>
      <c r="B11" s="11">
        <v>14.0</v>
      </c>
      <c r="C11" s="11">
        <v>14.0</v>
      </c>
      <c r="D11" s="11">
        <v>14.0</v>
      </c>
      <c r="E11" s="11">
        <v>5.0</v>
      </c>
      <c r="F11" s="11">
        <v>5.0</v>
      </c>
      <c r="G11" s="11">
        <v>5.0</v>
      </c>
      <c r="H11" s="11">
        <v>72.0</v>
      </c>
      <c r="I11" s="11">
        <v>78.0</v>
      </c>
      <c r="J11" s="11">
        <v>50.0</v>
      </c>
      <c r="K11" s="11">
        <v>50.0</v>
      </c>
      <c r="L11" s="11">
        <v>50.0</v>
      </c>
    </row>
    <row r="12">
      <c r="A12" s="11" t="s">
        <v>29</v>
      </c>
      <c r="B12" s="11">
        <v>14.0</v>
      </c>
      <c r="C12" s="11">
        <v>14.0</v>
      </c>
      <c r="D12" s="11">
        <v>14.0</v>
      </c>
      <c r="E12" s="11">
        <v>50.0</v>
      </c>
      <c r="F12" s="11">
        <v>50.0</v>
      </c>
      <c r="G12" s="11">
        <v>50.0</v>
      </c>
      <c r="H12" s="11">
        <v>72.0</v>
      </c>
      <c r="I12" s="11">
        <v>78.0</v>
      </c>
      <c r="J12" s="11">
        <v>40.0</v>
      </c>
      <c r="K12" s="11">
        <v>40.0</v>
      </c>
      <c r="L12" s="11">
        <v>40.0</v>
      </c>
    </row>
    <row r="13">
      <c r="A13" s="11" t="s">
        <v>31</v>
      </c>
      <c r="B13" s="11">
        <v>10.8</v>
      </c>
      <c r="C13" s="11">
        <v>10.8</v>
      </c>
      <c r="D13" s="11">
        <v>10.8</v>
      </c>
      <c r="E13" s="11">
        <v>50.0</v>
      </c>
      <c r="F13" s="11">
        <v>50.0</v>
      </c>
      <c r="G13" s="11">
        <v>50.0</v>
      </c>
      <c r="H13" s="11">
        <v>72.0</v>
      </c>
      <c r="I13" s="11">
        <v>80.0</v>
      </c>
      <c r="J13" s="11">
        <v>30.0</v>
      </c>
      <c r="K13" s="11">
        <v>30.0</v>
      </c>
      <c r="L13" s="11">
        <v>30.0</v>
      </c>
    </row>
    <row r="14">
      <c r="A14" s="11" t="s">
        <v>32</v>
      </c>
      <c r="B14" s="11">
        <v>10.8</v>
      </c>
      <c r="C14" s="11">
        <v>10.8</v>
      </c>
      <c r="D14" s="11">
        <v>10.8</v>
      </c>
      <c r="E14" s="11">
        <v>50.0</v>
      </c>
      <c r="F14" s="11">
        <v>50.0</v>
      </c>
      <c r="G14" s="11">
        <v>50.0</v>
      </c>
      <c r="H14" s="11">
        <v>72.0</v>
      </c>
      <c r="I14" s="11">
        <v>80.0</v>
      </c>
      <c r="J14" s="11">
        <v>30.0</v>
      </c>
      <c r="K14" s="11">
        <v>30.0</v>
      </c>
      <c r="L14" s="11">
        <v>30.0</v>
      </c>
    </row>
    <row r="15">
      <c r="A15" s="11" t="s">
        <v>33</v>
      </c>
      <c r="B15" s="11">
        <v>10.8</v>
      </c>
      <c r="C15" s="11">
        <v>10.8</v>
      </c>
      <c r="D15" s="11">
        <v>10.8</v>
      </c>
      <c r="E15" s="11">
        <v>50.0</v>
      </c>
      <c r="F15" s="11">
        <v>50.0</v>
      </c>
      <c r="G15" s="11">
        <v>50.0</v>
      </c>
      <c r="H15" s="11">
        <v>72.0</v>
      </c>
      <c r="I15" s="11">
        <v>80.0</v>
      </c>
      <c r="J15" s="11">
        <v>35.0</v>
      </c>
      <c r="K15" s="11">
        <v>35.0</v>
      </c>
      <c r="L15" s="11">
        <v>35.0</v>
      </c>
    </row>
    <row r="16">
      <c r="A16" s="11" t="s">
        <v>36</v>
      </c>
      <c r="B16" s="11">
        <v>7.7</v>
      </c>
      <c r="C16" s="11">
        <v>7.7</v>
      </c>
      <c r="D16" s="11">
        <v>7.7</v>
      </c>
      <c r="E16" s="11">
        <v>30.0</v>
      </c>
      <c r="F16" s="11">
        <v>30.0</v>
      </c>
      <c r="G16" s="11">
        <v>30.0</v>
      </c>
      <c r="H16" s="11">
        <v>72.0</v>
      </c>
      <c r="I16" s="11">
        <v>80.0</v>
      </c>
      <c r="J16" s="11">
        <v>40.0</v>
      </c>
      <c r="K16" s="11">
        <v>40.0</v>
      </c>
      <c r="L16" s="11">
        <v>40.0</v>
      </c>
    </row>
    <row r="17">
      <c r="A17" s="11" t="s">
        <v>39</v>
      </c>
      <c r="B17" s="11">
        <v>7.7</v>
      </c>
      <c r="C17" s="11">
        <v>7.7</v>
      </c>
      <c r="D17" s="11">
        <v>7.7</v>
      </c>
      <c r="E17" s="11">
        <v>50.0</v>
      </c>
      <c r="F17" s="11">
        <v>50.0</v>
      </c>
      <c r="G17" s="11">
        <v>50.0</v>
      </c>
      <c r="H17" s="11">
        <v>72.0</v>
      </c>
      <c r="I17" s="11">
        <v>80.0</v>
      </c>
      <c r="J17" s="11">
        <v>35.0</v>
      </c>
      <c r="K17" s="11">
        <v>35.0</v>
      </c>
      <c r="L17" s="11">
        <v>35.0</v>
      </c>
    </row>
    <row r="18">
      <c r="A18" s="11" t="s">
        <v>40</v>
      </c>
      <c r="B18" s="11">
        <v>7.7</v>
      </c>
      <c r="C18" s="11">
        <v>7.7</v>
      </c>
      <c r="D18" s="11">
        <v>7.7</v>
      </c>
      <c r="E18" s="11">
        <v>50.0</v>
      </c>
      <c r="F18" s="11">
        <v>50.0</v>
      </c>
      <c r="G18" s="11">
        <v>50.0</v>
      </c>
      <c r="H18" s="11">
        <v>72.0</v>
      </c>
      <c r="I18" s="11">
        <v>80.0</v>
      </c>
      <c r="J18" s="11">
        <v>35.0</v>
      </c>
      <c r="K18" s="11">
        <v>35.0</v>
      </c>
      <c r="L18" s="11">
        <v>35.0</v>
      </c>
    </row>
    <row r="19">
      <c r="A19" s="11" t="s">
        <v>42</v>
      </c>
      <c r="B19" s="11">
        <v>7.7</v>
      </c>
      <c r="C19" s="11">
        <v>7.7</v>
      </c>
      <c r="D19" s="11">
        <v>7.7</v>
      </c>
      <c r="E19" s="11">
        <v>50.0</v>
      </c>
      <c r="F19" s="11">
        <v>50.0</v>
      </c>
      <c r="G19" s="11">
        <v>50.0</v>
      </c>
      <c r="H19" s="11">
        <v>72.0</v>
      </c>
      <c r="I19" s="11">
        <v>78.0</v>
      </c>
      <c r="J19" s="11">
        <v>30.0</v>
      </c>
      <c r="K19" s="11">
        <v>30.0</v>
      </c>
      <c r="L19" s="11">
        <v>30.0</v>
      </c>
    </row>
    <row r="20">
      <c r="A20" s="11" t="s">
        <v>45</v>
      </c>
      <c r="B20" s="11">
        <v>7.7</v>
      </c>
      <c r="C20" s="11">
        <v>7.7</v>
      </c>
      <c r="D20" s="11">
        <v>7.7</v>
      </c>
      <c r="E20" s="11">
        <v>50.0</v>
      </c>
      <c r="F20" s="11">
        <v>50.0</v>
      </c>
      <c r="G20" s="11">
        <v>50.0</v>
      </c>
      <c r="H20" s="11">
        <v>72.0</v>
      </c>
      <c r="I20" s="11">
        <v>78.0</v>
      </c>
      <c r="J20" s="11">
        <v>30.0</v>
      </c>
      <c r="K20" s="11">
        <v>30.0</v>
      </c>
      <c r="L20" s="11">
        <v>30.0</v>
      </c>
    </row>
    <row r="21" ht="15.75" customHeight="1">
      <c r="A21" s="11" t="s">
        <v>48</v>
      </c>
      <c r="B21" s="11">
        <v>10.8</v>
      </c>
      <c r="C21" s="11">
        <v>10.8</v>
      </c>
      <c r="D21" s="11">
        <v>10.8</v>
      </c>
      <c r="E21" s="11">
        <v>50.0</v>
      </c>
      <c r="F21" s="11">
        <v>50.0</v>
      </c>
      <c r="G21" s="11">
        <v>50.0</v>
      </c>
      <c r="H21" s="11">
        <v>72.0</v>
      </c>
      <c r="I21" s="11">
        <v>78.0</v>
      </c>
      <c r="J21" s="11">
        <v>50.0</v>
      </c>
      <c r="K21" s="11">
        <v>50.0</v>
      </c>
      <c r="L21" s="11">
        <v>50.0</v>
      </c>
    </row>
    <row r="22" ht="15.75" customHeight="1">
      <c r="A22" s="11" t="s">
        <v>50</v>
      </c>
      <c r="B22" s="11">
        <v>21.7</v>
      </c>
      <c r="C22" s="11">
        <v>21.7</v>
      </c>
      <c r="D22" s="11">
        <v>21.7</v>
      </c>
      <c r="E22" s="11">
        <v>35.0</v>
      </c>
      <c r="F22" s="11">
        <v>35.0</v>
      </c>
      <c r="G22" s="11">
        <v>35.0</v>
      </c>
      <c r="H22" s="11">
        <v>72.0</v>
      </c>
      <c r="I22" s="11">
        <v>78.0</v>
      </c>
      <c r="J22" s="11">
        <v>50.0</v>
      </c>
      <c r="K22" s="11">
        <v>50.0</v>
      </c>
      <c r="L22" s="11">
        <v>50.0</v>
      </c>
    </row>
    <row r="23" ht="15.75" customHeight="1">
      <c r="A23" s="11" t="s">
        <v>51</v>
      </c>
      <c r="B23" s="11">
        <v>21.7</v>
      </c>
      <c r="C23" s="11">
        <v>21.7</v>
      </c>
      <c r="D23" s="11">
        <v>21.7</v>
      </c>
      <c r="E23" s="11">
        <v>5.0</v>
      </c>
      <c r="F23" s="11">
        <v>5.0</v>
      </c>
      <c r="G23" s="11">
        <v>5.0</v>
      </c>
      <c r="H23" s="11">
        <v>72.0</v>
      </c>
      <c r="I23" s="11">
        <v>78.0</v>
      </c>
      <c r="J23" s="11">
        <v>40.0</v>
      </c>
      <c r="K23" s="11">
        <v>40.0</v>
      </c>
      <c r="L23" s="11">
        <v>40.0</v>
      </c>
    </row>
    <row r="24" ht="15.75" customHeight="1">
      <c r="A24" s="11" t="s">
        <v>53</v>
      </c>
      <c r="B24" s="11">
        <v>21.7</v>
      </c>
      <c r="C24" s="11">
        <v>21.7</v>
      </c>
      <c r="D24" s="11">
        <v>21.7</v>
      </c>
      <c r="E24" s="11">
        <v>5.0</v>
      </c>
      <c r="F24" s="11">
        <v>5.0</v>
      </c>
      <c r="G24" s="11">
        <v>5.0</v>
      </c>
      <c r="H24" s="11">
        <v>72.0</v>
      </c>
      <c r="I24" s="11">
        <v>78.0</v>
      </c>
      <c r="J24" s="11">
        <v>35.0</v>
      </c>
      <c r="K24" s="11">
        <v>35.0</v>
      </c>
      <c r="L24" s="11">
        <v>35.0</v>
      </c>
    </row>
    <row r="25" ht="15.75" customHeight="1">
      <c r="A25" s="11" t="s">
        <v>54</v>
      </c>
      <c r="B25" s="11">
        <v>21.7</v>
      </c>
      <c r="C25" s="11">
        <v>21.7</v>
      </c>
      <c r="D25" s="11">
        <v>21.7</v>
      </c>
      <c r="E25" s="11">
        <v>5.0</v>
      </c>
      <c r="F25" s="11">
        <v>5.0</v>
      </c>
      <c r="G25" s="11">
        <v>5.0</v>
      </c>
      <c r="H25" s="11">
        <v>72.0</v>
      </c>
      <c r="I25" s="11">
        <v>78.0</v>
      </c>
      <c r="J25" s="11">
        <v>45.0</v>
      </c>
      <c r="K25" s="11">
        <v>45.0</v>
      </c>
      <c r="L25" s="11">
        <v>45.0</v>
      </c>
    </row>
    <row r="26" ht="15.75" customHeight="1">
      <c r="A26" s="11" t="s">
        <v>55</v>
      </c>
      <c r="B26" s="11">
        <v>18.6</v>
      </c>
      <c r="C26" s="11">
        <v>18.6</v>
      </c>
      <c r="D26" s="11">
        <v>18.6</v>
      </c>
      <c r="E26" s="11">
        <v>5.0</v>
      </c>
      <c r="F26" s="11">
        <v>5.0</v>
      </c>
      <c r="G26" s="11">
        <v>5.0</v>
      </c>
      <c r="H26" s="11">
        <v>72.0</v>
      </c>
      <c r="I26" s="11">
        <v>78.0</v>
      </c>
      <c r="J26" s="11">
        <v>30.0</v>
      </c>
      <c r="K26" s="11">
        <v>30.0</v>
      </c>
      <c r="L26" s="11">
        <v>30.0</v>
      </c>
    </row>
    <row r="27" ht="15.75" customHeight="1">
      <c r="A27" s="11" t="s">
        <v>56</v>
      </c>
      <c r="B27" s="11">
        <v>1.6</v>
      </c>
      <c r="C27" s="11">
        <v>1.6</v>
      </c>
      <c r="D27" s="11">
        <v>1.6</v>
      </c>
      <c r="E27" s="11">
        <v>5.0</v>
      </c>
      <c r="F27" s="11">
        <v>5.0</v>
      </c>
      <c r="G27" s="11">
        <v>5.0</v>
      </c>
      <c r="H27" s="11">
        <v>70.0</v>
      </c>
      <c r="I27" s="11">
        <v>78.0</v>
      </c>
      <c r="J27" s="11">
        <v>5.0</v>
      </c>
      <c r="K27" s="11">
        <v>5.0</v>
      </c>
      <c r="L27" s="11">
        <v>5.0</v>
      </c>
    </row>
    <row r="28" ht="15.75" customHeight="1">
      <c r="A28" s="11" t="s">
        <v>57</v>
      </c>
      <c r="B28" s="11">
        <f t="shared" ref="B28:G28" si="1">SUM(B4:B27)</f>
        <v>234</v>
      </c>
      <c r="C28" s="11">
        <f t="shared" si="1"/>
        <v>234</v>
      </c>
      <c r="D28" s="11">
        <f t="shared" si="1"/>
        <v>234</v>
      </c>
      <c r="E28" s="11">
        <f t="shared" si="1"/>
        <v>580</v>
      </c>
      <c r="F28" s="11">
        <f t="shared" si="1"/>
        <v>580</v>
      </c>
      <c r="G28" s="11">
        <f t="shared" si="1"/>
        <v>580</v>
      </c>
      <c r="J28" s="11">
        <f t="shared" ref="J28:L28" si="2">SUM(J4:J27)</f>
        <v>670</v>
      </c>
      <c r="K28" s="11">
        <f t="shared" si="2"/>
        <v>670</v>
      </c>
      <c r="L28" s="11">
        <f t="shared" si="2"/>
        <v>670</v>
      </c>
    </row>
    <row r="29" ht="15.75" customHeight="1">
      <c r="A29" s="11" t="s">
        <v>59</v>
      </c>
      <c r="B29" s="11">
        <f>((B28/100)*5+C28/100+D28/100)</f>
        <v>16.38</v>
      </c>
      <c r="E29" s="11">
        <f>((E28/100)*5+F28/100+G28/100)</f>
        <v>40.6</v>
      </c>
      <c r="J29" s="11">
        <f>((J28/100)*5+K28/100+L28/100)</f>
        <v>46.9</v>
      </c>
    </row>
    <row r="30" ht="15.75" customHeight="1">
      <c r="A30" s="11" t="s">
        <v>64</v>
      </c>
      <c r="B30" s="11">
        <f>B29*52.14</f>
        <v>854.0532</v>
      </c>
      <c r="E30" s="11">
        <f>E29*52.14</f>
        <v>2116.884</v>
      </c>
      <c r="J30" s="11">
        <f>J29*52.14</f>
        <v>2445.366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3"/>
    <mergeCell ref="B1:D1"/>
    <mergeCell ref="E1:G1"/>
    <mergeCell ref="H1:I2"/>
    <mergeCell ref="J1:L1"/>
    <mergeCell ref="B2:D2"/>
    <mergeCell ref="E2:G2"/>
    <mergeCell ref="J2:L2"/>
  </mergeCells>
  <dataValidations>
    <dataValidation type="decimal" allowBlank="1" showInputMessage="1" prompt="Enter a percentage value between 0% and 100%" sqref="E4:G27">
      <formula1>0.0</formula1>
      <formula2>1.0</formula2>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57"/>
    <col customWidth="1" min="3" max="3" width="88.0"/>
    <col customWidth="1" min="4" max="6" width="8.71"/>
  </cols>
  <sheetData>
    <row r="1">
      <c r="A1" s="11" t="s">
        <v>73</v>
      </c>
      <c r="B1" s="11" t="s">
        <v>74</v>
      </c>
      <c r="C1" s="11" t="s">
        <v>75</v>
      </c>
    </row>
    <row r="2">
      <c r="A2" s="11" t="s">
        <v>76</v>
      </c>
      <c r="B2" s="23">
        <v>43963.0</v>
      </c>
    </row>
    <row r="3">
      <c r="A3" s="11" t="s">
        <v>77</v>
      </c>
      <c r="B3" s="23">
        <v>43965.0</v>
      </c>
      <c r="C3" s="11" t="s">
        <v>78</v>
      </c>
    </row>
    <row r="4">
      <c r="B4" s="24"/>
      <c r="C4" s="11" t="s">
        <v>79</v>
      </c>
    </row>
    <row r="5">
      <c r="B5" s="24"/>
      <c r="C5" s="11" t="s">
        <v>80</v>
      </c>
    </row>
    <row r="6">
      <c r="B6" s="24"/>
      <c r="C6" s="11" t="s">
        <v>81</v>
      </c>
    </row>
    <row r="7">
      <c r="B7" s="24"/>
      <c r="C7" s="11" t="s">
        <v>82</v>
      </c>
    </row>
    <row r="8">
      <c r="B8" s="24"/>
      <c r="C8" s="11" t="s">
        <v>83</v>
      </c>
    </row>
    <row r="9">
      <c r="B9" s="24"/>
      <c r="C9" s="11" t="s">
        <v>84</v>
      </c>
    </row>
    <row r="10">
      <c r="B10" s="24"/>
      <c r="C10" s="11" t="s">
        <v>85</v>
      </c>
    </row>
    <row r="11">
      <c r="A11" s="11" t="s">
        <v>86</v>
      </c>
      <c r="B11" s="23">
        <v>43973.0</v>
      </c>
      <c r="C11" s="11" t="s">
        <v>87</v>
      </c>
    </row>
    <row r="12">
      <c r="B12" s="24"/>
      <c r="C12" s="11" t="s">
        <v>88</v>
      </c>
    </row>
    <row r="13">
      <c r="B13" s="24"/>
      <c r="C13" s="11" t="s">
        <v>89</v>
      </c>
    </row>
    <row r="14">
      <c r="B14" s="24"/>
      <c r="C14" s="11" t="s">
        <v>90</v>
      </c>
    </row>
    <row r="15">
      <c r="B15" s="24"/>
      <c r="C15" s="11" t="s">
        <v>91</v>
      </c>
    </row>
    <row r="16">
      <c r="B16" s="24"/>
      <c r="C16" s="11" t="s">
        <v>92</v>
      </c>
    </row>
    <row r="17">
      <c r="B17" s="24"/>
      <c r="C17" s="11" t="s">
        <v>93</v>
      </c>
    </row>
    <row r="18">
      <c r="A18" s="11" t="s">
        <v>94</v>
      </c>
      <c r="B18" s="23">
        <v>44125.0</v>
      </c>
      <c r="C18" s="25" t="s">
        <v>95</v>
      </c>
    </row>
    <row r="19">
      <c r="B19" s="24"/>
      <c r="C19" s="25" t="s">
        <v>96</v>
      </c>
    </row>
    <row r="20">
      <c r="A20" s="11" t="s">
        <v>97</v>
      </c>
      <c r="B20" s="23">
        <v>44175.0</v>
      </c>
      <c r="C20" s="25" t="s">
        <v>98</v>
      </c>
    </row>
    <row r="21" ht="15.75" customHeight="1">
      <c r="A21" s="11" t="s">
        <v>99</v>
      </c>
      <c r="B21" s="23">
        <v>45057.0</v>
      </c>
      <c r="C21" s="25" t="s">
        <v>100</v>
      </c>
    </row>
    <row r="22" ht="15.75" customHeight="1">
      <c r="B22" s="23">
        <v>45063.0</v>
      </c>
      <c r="C22" s="24" t="s">
        <v>101</v>
      </c>
    </row>
    <row r="23" ht="15.75" customHeight="1">
      <c r="A23" s="11" t="s">
        <v>102</v>
      </c>
      <c r="B23" s="23">
        <v>45148.0</v>
      </c>
      <c r="C23" s="25" t="s">
        <v>103</v>
      </c>
    </row>
    <row r="24" ht="15.75" customHeight="1">
      <c r="C24" s="24" t="s">
        <v>104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4.71"/>
    <col customWidth="1" min="3" max="3" width="11.0"/>
    <col customWidth="1" min="4" max="5" width="8.71"/>
    <col customWidth="1" min="6" max="6" width="4.0"/>
    <col customWidth="1" min="7" max="7" width="8.71"/>
    <col customWidth="1" min="8" max="8" width="18.57"/>
    <col customWidth="1" min="9" max="9" width="21.14"/>
  </cols>
  <sheetData>
    <row r="2">
      <c r="A2" s="11" t="s">
        <v>105</v>
      </c>
    </row>
    <row r="3">
      <c r="A3" s="26" t="s">
        <v>106</v>
      </c>
    </row>
    <row r="4">
      <c r="A4" s="27">
        <v>1.0</v>
      </c>
      <c r="B4" s="28" t="s">
        <v>107</v>
      </c>
      <c r="C4" s="29"/>
      <c r="D4" s="29"/>
      <c r="E4" s="29"/>
      <c r="F4" s="29"/>
      <c r="G4" s="29"/>
      <c r="H4" s="30"/>
    </row>
    <row r="5" ht="15.0" customHeight="1">
      <c r="A5" s="31"/>
      <c r="B5" s="32" t="s">
        <v>108</v>
      </c>
      <c r="C5" s="33" t="s">
        <v>109</v>
      </c>
      <c r="D5" s="29"/>
      <c r="E5" s="29"/>
      <c r="F5" s="29"/>
      <c r="G5" s="29"/>
      <c r="H5" s="30"/>
    </row>
    <row r="6">
      <c r="A6" s="34"/>
      <c r="B6" s="32" t="s">
        <v>110</v>
      </c>
      <c r="C6" s="32" t="s">
        <v>111</v>
      </c>
      <c r="D6" s="32" t="s">
        <v>112</v>
      </c>
      <c r="E6" s="35" t="s">
        <v>113</v>
      </c>
      <c r="F6" s="36"/>
      <c r="G6" s="33" t="s">
        <v>114</v>
      </c>
      <c r="H6" s="30"/>
    </row>
    <row r="7" ht="15.0" customHeight="1">
      <c r="A7" s="34"/>
      <c r="B7" s="37" t="s">
        <v>115</v>
      </c>
      <c r="C7" s="38" t="s">
        <v>116</v>
      </c>
      <c r="D7" s="29"/>
      <c r="E7" s="29"/>
      <c r="F7" s="29"/>
      <c r="G7" s="29"/>
      <c r="H7" s="30"/>
    </row>
    <row r="8">
      <c r="A8" s="39"/>
      <c r="B8" s="39"/>
      <c r="C8" s="39"/>
      <c r="D8" s="39"/>
      <c r="E8" s="39"/>
      <c r="F8" s="39"/>
      <c r="G8" s="39"/>
    </row>
    <row r="9">
      <c r="A9" s="40"/>
    </row>
    <row r="10">
      <c r="A10" s="41" t="s">
        <v>117</v>
      </c>
      <c r="B10" s="42" t="s">
        <v>118</v>
      </c>
      <c r="C10" s="29"/>
      <c r="D10" s="29"/>
      <c r="E10" s="29"/>
      <c r="F10" s="29"/>
      <c r="G10" s="29"/>
      <c r="H10" s="29"/>
      <c r="I10" s="30"/>
    </row>
    <row r="11">
      <c r="A11" s="43"/>
      <c r="B11" s="37" t="s">
        <v>120</v>
      </c>
      <c r="C11" s="30"/>
      <c r="D11" s="37" t="s">
        <v>121</v>
      </c>
      <c r="E11" s="29"/>
      <c r="F11" s="29"/>
      <c r="G11" s="29"/>
      <c r="H11" s="30"/>
      <c r="I11" s="32" t="s">
        <v>122</v>
      </c>
    </row>
    <row r="12">
      <c r="A12" s="34"/>
      <c r="B12" s="37" t="s">
        <v>123</v>
      </c>
      <c r="C12" s="29"/>
      <c r="D12" s="29"/>
      <c r="E12" s="30"/>
      <c r="F12" s="37" t="s">
        <v>124</v>
      </c>
      <c r="G12" s="29"/>
      <c r="H12" s="29"/>
      <c r="I12" s="30"/>
    </row>
    <row r="13">
      <c r="A13" s="34"/>
      <c r="B13" s="37" t="s">
        <v>125</v>
      </c>
      <c r="C13" s="29"/>
      <c r="D13" s="29"/>
      <c r="E13" s="30"/>
      <c r="F13" s="37" t="s">
        <v>126</v>
      </c>
      <c r="G13" s="29"/>
      <c r="H13" s="29"/>
      <c r="I13" s="30"/>
    </row>
    <row r="14">
      <c r="A14" s="34"/>
      <c r="B14" s="32" t="s">
        <v>127</v>
      </c>
      <c r="C14" s="37" t="s">
        <v>129</v>
      </c>
      <c r="D14" s="30"/>
      <c r="E14" s="37" t="s">
        <v>131</v>
      </c>
      <c r="F14" s="29"/>
      <c r="G14" s="30"/>
      <c r="H14" s="37"/>
      <c r="I14" s="30"/>
    </row>
    <row r="15">
      <c r="A15" s="34"/>
      <c r="B15" s="37" t="s">
        <v>133</v>
      </c>
      <c r="C15" s="29"/>
      <c r="D15" s="29"/>
      <c r="E15" s="29"/>
      <c r="F15" s="30"/>
      <c r="G15" s="37" t="s">
        <v>134</v>
      </c>
      <c r="H15" s="29"/>
      <c r="I15" s="30"/>
    </row>
    <row r="16">
      <c r="A16" s="59"/>
      <c r="B16" s="61"/>
      <c r="C16" s="61"/>
      <c r="D16" s="61"/>
      <c r="E16" s="61"/>
      <c r="F16" s="61"/>
      <c r="G16" s="61"/>
      <c r="H16" s="61"/>
      <c r="I16" s="61"/>
    </row>
    <row r="17">
      <c r="A17" s="64"/>
      <c r="B17" s="39"/>
      <c r="C17" s="39"/>
      <c r="D17" s="39"/>
      <c r="E17" s="39"/>
      <c r="F17" s="39"/>
      <c r="G17" s="39"/>
      <c r="H17" s="39"/>
      <c r="I17" s="39"/>
    </row>
    <row r="18">
      <c r="A18" s="41" t="s">
        <v>139</v>
      </c>
      <c r="B18" s="42" t="s">
        <v>140</v>
      </c>
      <c r="C18" s="29"/>
      <c r="D18" s="29"/>
      <c r="E18" s="29"/>
      <c r="F18" s="29"/>
      <c r="G18" s="29"/>
      <c r="H18" s="29"/>
      <c r="I18" s="30"/>
    </row>
    <row r="19">
      <c r="A19" s="40"/>
      <c r="B19" s="37" t="s">
        <v>142</v>
      </c>
      <c r="C19" s="30"/>
      <c r="D19" s="37" t="s">
        <v>145</v>
      </c>
      <c r="E19" s="29"/>
      <c r="F19" s="29"/>
      <c r="G19" s="29"/>
      <c r="H19" s="30"/>
      <c r="I19" s="32" t="s">
        <v>148</v>
      </c>
    </row>
    <row r="20">
      <c r="A20" s="40"/>
      <c r="B20" s="37" t="s">
        <v>149</v>
      </c>
      <c r="C20" s="29"/>
      <c r="D20" s="29"/>
      <c r="E20" s="30"/>
      <c r="F20" s="37" t="s">
        <v>150</v>
      </c>
      <c r="G20" s="29"/>
      <c r="H20" s="29"/>
      <c r="I20" s="30"/>
    </row>
    <row r="21" ht="15.75" customHeight="1">
      <c r="A21" s="40"/>
      <c r="B21" s="37" t="s">
        <v>152</v>
      </c>
      <c r="C21" s="29"/>
      <c r="D21" s="29"/>
      <c r="E21" s="30"/>
      <c r="F21" s="37" t="s">
        <v>154</v>
      </c>
      <c r="G21" s="29"/>
      <c r="H21" s="29"/>
      <c r="I21" s="30"/>
    </row>
    <row r="22" ht="15.75" customHeight="1">
      <c r="A22" s="40"/>
      <c r="B22" s="78" t="s">
        <v>158</v>
      </c>
      <c r="C22" s="37" t="s">
        <v>129</v>
      </c>
      <c r="D22" s="30"/>
      <c r="E22" s="37" t="s">
        <v>161</v>
      </c>
      <c r="F22" s="29"/>
      <c r="G22" s="30"/>
      <c r="H22" s="37"/>
      <c r="I22" s="30"/>
    </row>
    <row r="23" ht="15.75" customHeight="1">
      <c r="A23" s="40"/>
      <c r="B23" s="61"/>
      <c r="C23" s="61"/>
      <c r="D23" s="61"/>
      <c r="E23" s="61"/>
      <c r="F23" s="61"/>
      <c r="G23" s="61"/>
      <c r="H23" s="61"/>
      <c r="I23" s="61"/>
    </row>
    <row r="24" ht="19.5" customHeight="1">
      <c r="A24" s="40"/>
      <c r="B24" s="61"/>
      <c r="C24" s="61"/>
      <c r="D24" s="61"/>
      <c r="E24" s="61"/>
      <c r="F24" s="61"/>
      <c r="G24" s="61"/>
      <c r="H24" s="61"/>
      <c r="I24" s="61"/>
    </row>
    <row r="25" ht="21.75" customHeight="1">
      <c r="A25" s="27" t="s">
        <v>163</v>
      </c>
      <c r="B25" s="85" t="s">
        <v>164</v>
      </c>
      <c r="C25" s="29"/>
      <c r="D25" s="30"/>
      <c r="F25" s="27" t="s">
        <v>167</v>
      </c>
      <c r="G25" s="85" t="s">
        <v>169</v>
      </c>
      <c r="H25" s="29"/>
      <c r="I25" s="30"/>
    </row>
    <row r="26" ht="15.0" customHeight="1">
      <c r="B26" s="86" t="s">
        <v>170</v>
      </c>
      <c r="C26" s="89" t="str">
        <f>IF(Path="","Select Path on tab 4. Compliance",Path)</f>
        <v>Appendix G PRM</v>
      </c>
      <c r="D26" s="91"/>
      <c r="G26" s="92" t="s">
        <v>173</v>
      </c>
      <c r="H26" s="94" t="s">
        <v>176</v>
      </c>
      <c r="I26" s="98">
        <f>'4. Compliance'!G12/'1,2,3 Information'!C32</f>
        <v>2.185994087</v>
      </c>
    </row>
    <row r="27" ht="15.75" customHeight="1">
      <c r="B27" s="100" t="s">
        <v>179</v>
      </c>
      <c r="C27" s="102" t="s">
        <v>181</v>
      </c>
      <c r="D27" s="103"/>
      <c r="G27" s="104"/>
      <c r="H27" s="106" t="s">
        <v>185</v>
      </c>
      <c r="I27" s="108">
        <f>('5b. Usage Summary'!G17*3.412+'5b. Usage Summary'!H17*100)/'1,2,3 Information'!C32</f>
        <v>29.83473915</v>
      </c>
    </row>
    <row r="28" ht="15.75" customHeight="1">
      <c r="B28" s="86" t="s">
        <v>188</v>
      </c>
      <c r="C28" s="111" t="s">
        <v>189</v>
      </c>
      <c r="D28" s="81"/>
      <c r="G28" s="104"/>
      <c r="H28" s="113" t="s">
        <v>191</v>
      </c>
      <c r="I28" s="108">
        <f>('5b. Usage Summary'!G17*3.412*2.55+'5b. Usage Summary'!H17*100*1.05)/'1,2,3 Information'!C32</f>
        <v>76.07858485</v>
      </c>
    </row>
    <row r="29" ht="15.75" customHeight="1">
      <c r="B29" s="86" t="s">
        <v>193</v>
      </c>
      <c r="C29" s="117">
        <v>70.66</v>
      </c>
      <c r="D29" s="81"/>
      <c r="G29" s="118"/>
      <c r="H29" s="119" t="s">
        <v>196</v>
      </c>
      <c r="I29" s="121">
        <f>'3d. LL97 GHG Summary'!E33/'1,2,3 Information'!C32</f>
        <v>0.002526701611</v>
      </c>
    </row>
    <row r="30" ht="15.0" customHeight="1">
      <c r="B30" s="86" t="s">
        <v>198</v>
      </c>
      <c r="C30" s="117">
        <v>34.66</v>
      </c>
      <c r="D30" s="81"/>
      <c r="G30" s="92" t="s">
        <v>200</v>
      </c>
      <c r="H30" s="94" t="s">
        <v>176</v>
      </c>
      <c r="I30" s="98">
        <f>'4. Compliance'!E12/'1,2,3 Information'!C32</f>
        <v>3.455882498</v>
      </c>
    </row>
    <row r="31" ht="15.75" customHeight="1">
      <c r="B31" s="86" t="s">
        <v>201</v>
      </c>
      <c r="C31" s="117">
        <v>12381.63</v>
      </c>
      <c r="D31" s="81"/>
      <c r="G31" s="104"/>
      <c r="H31" s="106" t="s">
        <v>185</v>
      </c>
      <c r="I31" s="108">
        <f>('5b. Usage Summary'!C17*3.412+'5b. Usage Summary'!D17*100)/'1,2,3 Information'!C32</f>
        <v>80.62798317</v>
      </c>
    </row>
    <row r="32" ht="15.75" customHeight="1">
      <c r="B32" s="86" t="s">
        <v>203</v>
      </c>
      <c r="C32" s="117">
        <v>11690.791</v>
      </c>
      <c r="D32" s="81"/>
      <c r="G32" s="104"/>
      <c r="H32" s="113" t="s">
        <v>191</v>
      </c>
      <c r="I32" s="108">
        <f>('5b. Usage Summary'!C17*3.412*2.55+'5b. Usage Summary'!D17*100*1.05)/'1,2,3 Information'!C32</f>
        <v>143.0264637</v>
      </c>
    </row>
    <row r="33" ht="15.75" customHeight="1">
      <c r="B33" s="86" t="s">
        <v>207</v>
      </c>
      <c r="C33" s="117">
        <v>11169.925</v>
      </c>
      <c r="D33" s="81"/>
      <c r="G33" s="118"/>
      <c r="H33" s="119" t="s">
        <v>208</v>
      </c>
      <c r="I33" s="121">
        <f>SUM('3d. LL97 GHG Summary'!J24:J28)/'1,2,3 Information'!C32</f>
        <v>0.005510970614</v>
      </c>
    </row>
    <row r="34" ht="15.0" customHeight="1">
      <c r="B34" s="86" t="s">
        <v>210</v>
      </c>
      <c r="C34" s="117">
        <v>0.0</v>
      </c>
      <c r="D34" s="81"/>
      <c r="G34" s="92" t="s">
        <v>211</v>
      </c>
      <c r="H34" s="94" t="s">
        <v>176</v>
      </c>
      <c r="I34" s="128">
        <f t="shared" ref="I34:I37" si="1">(I30-I26)/I30</f>
        <v>0.3674570566</v>
      </c>
    </row>
    <row r="35" ht="15.75" customHeight="1">
      <c r="B35" s="86" t="s">
        <v>213</v>
      </c>
      <c r="C35" s="117">
        <v>520.866</v>
      </c>
      <c r="D35" s="81"/>
      <c r="G35" s="104"/>
      <c r="H35" s="106" t="s">
        <v>185</v>
      </c>
      <c r="I35" s="130">
        <f t="shared" si="1"/>
        <v>0.629970415</v>
      </c>
    </row>
    <row r="36" ht="15.75" customHeight="1">
      <c r="G36" s="104"/>
      <c r="H36" s="113" t="s">
        <v>191</v>
      </c>
      <c r="I36" s="130">
        <f t="shared" si="1"/>
        <v>0.4680803618</v>
      </c>
    </row>
    <row r="37" ht="15.75" customHeight="1">
      <c r="A37" s="27" t="s">
        <v>214</v>
      </c>
      <c r="B37" s="85" t="s">
        <v>215</v>
      </c>
      <c r="C37" s="29"/>
      <c r="D37" s="30"/>
      <c r="G37" s="118"/>
      <c r="H37" s="119" t="s">
        <v>216</v>
      </c>
      <c r="I37" s="132">
        <f t="shared" si="1"/>
        <v>0.541514229</v>
      </c>
    </row>
    <row r="38" ht="15.75" customHeight="1">
      <c r="B38" s="100" t="s">
        <v>218</v>
      </c>
      <c r="C38" s="134" t="s">
        <v>219</v>
      </c>
      <c r="D38" s="103"/>
    </row>
    <row r="39" ht="15.75" customHeight="1">
      <c r="B39" s="86" t="s">
        <v>220</v>
      </c>
      <c r="C39" s="136" t="s">
        <v>221</v>
      </c>
      <c r="D39" s="81"/>
    </row>
    <row r="40" ht="15.75" customHeight="1">
      <c r="B40" s="86" t="s">
        <v>222</v>
      </c>
      <c r="C40" s="136" t="s">
        <v>223</v>
      </c>
      <c r="D40" s="81"/>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C39:D39"/>
    <mergeCell ref="C40:D40"/>
    <mergeCell ref="C31:D31"/>
    <mergeCell ref="C32:D32"/>
    <mergeCell ref="C33:D33"/>
    <mergeCell ref="C34:D34"/>
    <mergeCell ref="C35:D35"/>
    <mergeCell ref="B37:D37"/>
    <mergeCell ref="C38:D38"/>
    <mergeCell ref="B10:I10"/>
    <mergeCell ref="B11:C11"/>
    <mergeCell ref="D11:H11"/>
    <mergeCell ref="F12:I12"/>
    <mergeCell ref="B12:E12"/>
    <mergeCell ref="B13:E13"/>
    <mergeCell ref="F13:I13"/>
    <mergeCell ref="B4:H4"/>
    <mergeCell ref="A5:A7"/>
    <mergeCell ref="C5:H5"/>
    <mergeCell ref="E6:F6"/>
    <mergeCell ref="G6:H6"/>
    <mergeCell ref="C7:H7"/>
    <mergeCell ref="A11:A15"/>
    <mergeCell ref="B15:F15"/>
    <mergeCell ref="C14:D14"/>
    <mergeCell ref="E14:G14"/>
    <mergeCell ref="H14:I14"/>
    <mergeCell ref="G15:I15"/>
    <mergeCell ref="B18:I18"/>
    <mergeCell ref="B19:C19"/>
    <mergeCell ref="D19:H19"/>
    <mergeCell ref="B20:E20"/>
    <mergeCell ref="F20:I20"/>
    <mergeCell ref="B21:E21"/>
    <mergeCell ref="F21:I21"/>
    <mergeCell ref="C22:D22"/>
    <mergeCell ref="E22:G22"/>
    <mergeCell ref="H22:I22"/>
    <mergeCell ref="G26:G29"/>
    <mergeCell ref="G30:G33"/>
    <mergeCell ref="G34:G37"/>
    <mergeCell ref="B25:D25"/>
    <mergeCell ref="G25:I25"/>
    <mergeCell ref="C26:D26"/>
    <mergeCell ref="C27:D27"/>
    <mergeCell ref="C28:D28"/>
    <mergeCell ref="C29:D29"/>
    <mergeCell ref="C30:D30"/>
  </mergeCells>
  <conditionalFormatting sqref="C27:D35">
    <cfRule type="containsBlanks" dxfId="0" priority="1">
      <formula>LEN(TRIM(C27))=0</formula>
    </cfRule>
  </conditionalFormatting>
  <conditionalFormatting sqref="C7:H7">
    <cfRule type="containsBlanks" dxfId="0" priority="2">
      <formula>LEN(TRIM(C7))=0</formula>
    </cfRule>
  </conditionalFormatting>
  <dataValidations>
    <dataValidation type="list" allowBlank="1" showErrorMessage="1" sqref="C7">
      <formula1>Lists!$J$1:$J$5</formula1>
    </dataValidation>
  </dataValidations>
  <printOptions/>
  <pageMargins bottom="0.75" footer="0.0" header="0.0" left="0.7" right="0.7" top="0.75"/>
  <pageSetup scale="60" orientation="portrait"/>
  <headerFooter>
    <oddFooter>&amp;LVersion 7&amp;RAugust 2023</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3.86"/>
    <col customWidth="1" min="3" max="3" width="12.43"/>
    <col customWidth="1" min="4" max="4" width="10.86"/>
    <col customWidth="1" min="5" max="5" width="11.43"/>
    <col customWidth="1" min="6" max="6" width="9.57"/>
    <col customWidth="1" min="7" max="7" width="10.86"/>
    <col customWidth="1" min="8" max="8" width="10.0"/>
    <col customWidth="1" min="9" max="9" width="11.86"/>
    <col customWidth="1" min="10" max="10" width="11.57"/>
    <col customWidth="1" min="11" max="11" width="8.71"/>
    <col customWidth="1" min="12" max="12" width="2.71"/>
    <col customWidth="1" min="13" max="26" width="8.71"/>
  </cols>
  <sheetData>
    <row r="3">
      <c r="A3" s="44" t="s">
        <v>119</v>
      </c>
      <c r="B3" s="45"/>
      <c r="C3" s="45"/>
      <c r="D3" s="45"/>
      <c r="E3" s="45"/>
      <c r="F3" s="45"/>
      <c r="G3" s="45"/>
      <c r="H3" s="45"/>
      <c r="I3" s="45"/>
      <c r="J3" s="46"/>
    </row>
    <row r="4">
      <c r="A4" s="47"/>
      <c r="J4" s="48"/>
    </row>
    <row r="5">
      <c r="A5" s="49"/>
      <c r="B5" s="50"/>
      <c r="C5" s="50"/>
      <c r="D5" s="50"/>
      <c r="E5" s="50"/>
      <c r="F5" s="50"/>
      <c r="G5" s="50"/>
      <c r="H5" s="50"/>
      <c r="I5" s="50"/>
      <c r="J5" s="51"/>
    </row>
    <row r="8" ht="21.0" customHeight="1">
      <c r="A8" s="52"/>
      <c r="B8" s="53" t="s">
        <v>130</v>
      </c>
      <c r="C8" s="56" t="s">
        <v>132</v>
      </c>
      <c r="D8" s="29"/>
      <c r="E8" s="29"/>
      <c r="F8" s="29"/>
      <c r="G8" s="29"/>
      <c r="H8" s="29"/>
      <c r="I8" s="30"/>
      <c r="J8" s="52"/>
    </row>
    <row r="9" ht="29.25" customHeight="1">
      <c r="A9" s="52"/>
      <c r="B9" s="52"/>
      <c r="C9" s="60" t="s">
        <v>135</v>
      </c>
      <c r="D9" s="63" t="s">
        <v>136</v>
      </c>
      <c r="E9" s="65"/>
      <c r="F9" s="63" t="s">
        <v>143</v>
      </c>
      <c r="G9" s="65"/>
      <c r="H9" s="63" t="s">
        <v>147</v>
      </c>
      <c r="I9" s="72"/>
      <c r="J9" s="52"/>
      <c r="K9" s="52"/>
    </row>
    <row r="10" ht="21.0" customHeight="1">
      <c r="A10" s="52"/>
      <c r="B10" s="52"/>
      <c r="C10" s="74"/>
      <c r="D10" s="76"/>
      <c r="E10" s="68"/>
      <c r="F10" s="79" t="str">
        <f>IF(C10="","",VLOOKUP(C10,Lists!A134:B143,2,FALSE))</f>
        <v/>
      </c>
      <c r="G10" s="68"/>
      <c r="H10" s="79" t="str">
        <f>IF(C10="","",VLOOKUP(C10,Lists!$A$133:$C$143,3,FALSE))</f>
        <v/>
      </c>
      <c r="I10" s="81"/>
      <c r="J10" s="52"/>
      <c r="K10" s="52"/>
      <c r="L10" s="4"/>
    </row>
    <row r="11" ht="22.5" customHeight="1">
      <c r="A11" s="52"/>
      <c r="B11" s="52"/>
      <c r="C11" s="74"/>
      <c r="D11" s="76"/>
      <c r="E11" s="68"/>
      <c r="F11" s="79" t="str">
        <f>IF(C11="","",VLOOKUP(C11,Lists!$A$134:$F$144,2,FALSE))</f>
        <v/>
      </c>
      <c r="G11" s="68"/>
      <c r="H11" s="79" t="str">
        <f>IF(C11="","",VLOOKUP(C11,Lists!$A$133:$C$143,3,FALSE))</f>
        <v/>
      </c>
      <c r="I11" s="81"/>
      <c r="J11" s="52"/>
      <c r="K11" s="52"/>
      <c r="L11" s="4"/>
    </row>
    <row r="12" ht="22.5" customHeight="1">
      <c r="A12" s="52"/>
      <c r="B12" s="52"/>
      <c r="C12" s="74"/>
      <c r="D12" s="76"/>
      <c r="E12" s="68"/>
      <c r="F12" s="79" t="str">
        <f>IF(C12="","",VLOOKUP(C12,Lists!$A$134:$F$144,2,FALSE))</f>
        <v/>
      </c>
      <c r="G12" s="68"/>
      <c r="H12" s="79" t="str">
        <f>IF(C12="","",VLOOKUP(C12,Lists!$A$133:$C$143,3,FALSE))</f>
        <v/>
      </c>
      <c r="I12" s="81"/>
      <c r="J12" s="52"/>
      <c r="K12" s="52"/>
      <c r="L12" s="4"/>
    </row>
    <row r="13" ht="22.5" customHeight="1">
      <c r="A13" s="52"/>
      <c r="B13" s="52"/>
      <c r="C13" s="74"/>
      <c r="D13" s="76"/>
      <c r="E13" s="68"/>
      <c r="F13" s="79" t="str">
        <f>IF(C13="","",VLOOKUP(C13,Lists!$A$134:$F$144,2,FALSE))</f>
        <v/>
      </c>
      <c r="G13" s="68"/>
      <c r="H13" s="79" t="str">
        <f>IF(C13="","",VLOOKUP(C13,Lists!$A$133:$C$143,3,FALSE))</f>
        <v/>
      </c>
      <c r="I13" s="81"/>
      <c r="J13" s="52"/>
      <c r="K13" s="52"/>
      <c r="L13" s="4"/>
    </row>
    <row r="14" ht="21.75" customHeight="1">
      <c r="A14" s="52"/>
      <c r="B14" s="52"/>
      <c r="C14" s="74"/>
      <c r="D14" s="76"/>
      <c r="E14" s="68"/>
      <c r="F14" s="79" t="str">
        <f>IF(C14="","",VLOOKUP(C14,Lists!$A$134:$F$144,2,FALSE))</f>
        <v/>
      </c>
      <c r="G14" s="68"/>
      <c r="H14" s="79" t="str">
        <f>IF(C14="","",VLOOKUP(C14,Lists!$A$133:$C$143,3,FALSE))</f>
        <v/>
      </c>
      <c r="I14" s="81"/>
      <c r="J14" s="52"/>
      <c r="K14" s="52"/>
      <c r="L14" s="4"/>
      <c r="M14" s="120"/>
      <c r="N14" s="120"/>
      <c r="O14" s="120"/>
      <c r="P14" s="120"/>
      <c r="Q14" s="120"/>
      <c r="R14" s="120"/>
      <c r="S14" s="120"/>
      <c r="T14" s="120"/>
      <c r="U14" s="120"/>
      <c r="V14" s="120"/>
      <c r="W14" s="120"/>
      <c r="X14" s="120"/>
      <c r="Y14" s="120"/>
      <c r="Z14" s="120"/>
    </row>
    <row r="15" ht="22.5" customHeight="1">
      <c r="A15" s="52"/>
      <c r="B15" s="52"/>
      <c r="C15" s="74"/>
      <c r="D15" s="76"/>
      <c r="E15" s="68"/>
      <c r="F15" s="79" t="str">
        <f>IF(C15="","",VLOOKUP(C15,Lists!$A$134:$F$144,2,FALSE))</f>
        <v/>
      </c>
      <c r="G15" s="68"/>
      <c r="H15" s="79" t="str">
        <f>IF(C15="","",VLOOKUP(C15,Lists!$A$133:$C$143,3,FALSE))</f>
        <v/>
      </c>
      <c r="I15" s="81"/>
      <c r="J15" s="52"/>
      <c r="K15" s="52"/>
      <c r="L15" s="4"/>
      <c r="M15" s="120"/>
      <c r="N15" s="120"/>
      <c r="O15" s="120"/>
      <c r="P15" s="120"/>
      <c r="Q15" s="120"/>
      <c r="R15" s="120"/>
      <c r="S15" s="120"/>
      <c r="T15" s="120"/>
      <c r="U15" s="120"/>
      <c r="V15" s="120"/>
      <c r="W15" s="120"/>
      <c r="X15" s="120"/>
      <c r="Y15" s="120"/>
      <c r="Z15" s="120"/>
    </row>
    <row r="16" ht="21.75" customHeight="1">
      <c r="A16" s="52"/>
      <c r="B16" s="52"/>
      <c r="C16" s="74"/>
      <c r="D16" s="123"/>
      <c r="E16" s="68"/>
      <c r="F16" s="79" t="str">
        <f>IF(C16="","",VLOOKUP(C16,Lists!$A$134:$F$144,2,FALSE))</f>
        <v/>
      </c>
      <c r="G16" s="68"/>
      <c r="H16" s="79" t="str">
        <f>IF(C16="","",VLOOKUP(C16,Lists!$A$133:$C$143,3,FALSE))</f>
        <v/>
      </c>
      <c r="I16" s="81"/>
      <c r="J16" s="52"/>
      <c r="K16" s="52"/>
      <c r="L16" s="4"/>
      <c r="M16" s="120"/>
      <c r="N16" s="120"/>
      <c r="O16" s="120"/>
      <c r="P16" s="120"/>
      <c r="Q16" s="120"/>
      <c r="R16" s="120"/>
      <c r="S16" s="120"/>
      <c r="T16" s="120"/>
      <c r="U16" s="120"/>
      <c r="V16" s="120"/>
      <c r="W16" s="120"/>
      <c r="X16" s="120"/>
      <c r="Y16" s="120"/>
      <c r="Z16" s="120"/>
    </row>
    <row r="17" ht="21.75" customHeight="1">
      <c r="A17" s="52"/>
      <c r="B17" s="52"/>
      <c r="C17" s="125"/>
      <c r="D17" s="126"/>
      <c r="E17" s="127"/>
      <c r="F17" s="129" t="str">
        <f>IF(C17="","",VLOOKUP(C17,Lists!$A$134:$F$144,2,FALSE))</f>
        <v/>
      </c>
      <c r="G17" s="127"/>
      <c r="H17" s="129" t="str">
        <f>IF(C17="","",VLOOKUP(C17,Lists!$A$133:$C$143,3,FALSE))</f>
        <v/>
      </c>
      <c r="I17" s="131"/>
      <c r="J17" s="52"/>
      <c r="K17" s="52"/>
      <c r="L17" s="4"/>
      <c r="M17" s="120"/>
      <c r="N17" s="120"/>
      <c r="O17" s="120"/>
      <c r="P17" s="120"/>
      <c r="Q17" s="120"/>
      <c r="R17" s="120"/>
      <c r="S17" s="120"/>
      <c r="T17" s="120"/>
      <c r="U17" s="120"/>
      <c r="V17" s="120"/>
      <c r="W17" s="120"/>
      <c r="X17" s="120"/>
      <c r="Y17" s="120"/>
      <c r="Z17" s="120"/>
    </row>
    <row r="18" ht="28.5" customHeight="1">
      <c r="A18" s="52"/>
      <c r="B18" s="52"/>
      <c r="C18" s="133" t="s">
        <v>209</v>
      </c>
      <c r="D18" s="137" t="str">
        <f>IF(D10="","",IF(SUM(D10:E17)='1,2,3 Information'!C31,SUM(D10:E17),"Total area does not align with GROSS FLOOR AREA of the building"))</f>
        <v/>
      </c>
      <c r="E18" s="29"/>
      <c r="F18" s="29"/>
      <c r="G18" s="29"/>
      <c r="H18" s="29"/>
      <c r="I18" s="30"/>
      <c r="J18" s="52"/>
      <c r="K18" s="4"/>
    </row>
    <row r="19" ht="17.25" hidden="1" customHeight="1">
      <c r="A19" s="52"/>
      <c r="B19" s="52"/>
      <c r="C19" s="139" t="s">
        <v>224</v>
      </c>
      <c r="D19" s="140"/>
      <c r="E19" s="65"/>
      <c r="F19" s="141">
        <f>SUMPRODUCT(D10:D17,F10:F17)</f>
        <v>0</v>
      </c>
      <c r="G19" s="65"/>
      <c r="H19" s="141">
        <f>SUMPRODUCT(D10:D17,H10:H17)</f>
        <v>0</v>
      </c>
      <c r="I19" s="72"/>
      <c r="J19" s="52"/>
      <c r="K19" s="52"/>
      <c r="L19" s="4"/>
    </row>
    <row r="20" ht="16.5" hidden="1" customHeight="1">
      <c r="A20" s="52"/>
      <c r="B20" s="52"/>
      <c r="C20" s="142" t="s">
        <v>232</v>
      </c>
      <c r="D20" s="143"/>
      <c r="E20" s="144"/>
      <c r="F20" s="146">
        <f>SUM(F24:F28)</f>
        <v>29.53914045</v>
      </c>
      <c r="G20" s="143"/>
      <c r="H20" s="143"/>
      <c r="I20" s="147"/>
      <c r="J20" s="52"/>
      <c r="K20" s="4"/>
    </row>
    <row r="21" ht="17.25" customHeight="1">
      <c r="A21" s="52"/>
      <c r="B21" s="52"/>
      <c r="C21" s="52"/>
      <c r="D21" s="52"/>
      <c r="E21" s="52"/>
      <c r="F21" s="52"/>
      <c r="G21" s="52"/>
      <c r="H21" s="52"/>
      <c r="I21" s="52"/>
      <c r="J21" s="52"/>
      <c r="K21" s="4"/>
    </row>
    <row r="22" ht="18.75" hidden="1" customHeight="1">
      <c r="A22" s="52"/>
      <c r="B22" s="53" t="s">
        <v>235</v>
      </c>
      <c r="C22" s="148" t="s">
        <v>236</v>
      </c>
      <c r="D22" s="29"/>
      <c r="E22" s="29"/>
      <c r="F22" s="30"/>
      <c r="G22" s="148" t="s">
        <v>238</v>
      </c>
      <c r="H22" s="29"/>
      <c r="I22" s="29"/>
      <c r="J22" s="30"/>
      <c r="K22" s="4"/>
    </row>
    <row r="23" ht="24.75" hidden="1" customHeight="1">
      <c r="A23" s="52"/>
      <c r="B23" s="52"/>
      <c r="C23" s="151"/>
      <c r="D23" s="151" t="s">
        <v>240</v>
      </c>
      <c r="E23" s="151" t="s">
        <v>241</v>
      </c>
      <c r="F23" s="151" t="s">
        <v>242</v>
      </c>
      <c r="G23" s="151"/>
      <c r="H23" s="151" t="s">
        <v>240</v>
      </c>
      <c r="I23" s="151" t="s">
        <v>241</v>
      </c>
      <c r="J23" s="151" t="s">
        <v>242</v>
      </c>
    </row>
    <row r="24" ht="23.25" hidden="1" customHeight="1">
      <c r="A24" s="52"/>
      <c r="B24" s="52"/>
      <c r="C24" s="153" t="s">
        <v>243</v>
      </c>
      <c r="D24" s="154">
        <f>IF('5b. Usage Summary'!$G$17="","",'5b. Usage Summary'!$G$17)</f>
        <v>102225</v>
      </c>
      <c r="E24" s="155">
        <v>2.88962E-4</v>
      </c>
      <c r="F24" s="156">
        <f t="shared" ref="F24:F28" si="1">IF(D24="","",E24*D24)</f>
        <v>29.53914045</v>
      </c>
      <c r="G24" s="153" t="s">
        <v>243</v>
      </c>
      <c r="H24" s="154">
        <f>IF('5b. Usage Summary'!$C$17="","",'5b. Usage Summary'!$C$17)</f>
        <v>133325</v>
      </c>
      <c r="I24" s="155">
        <v>2.88962E-4</v>
      </c>
      <c r="J24" s="156">
        <f t="shared" ref="J24:J28" si="2">IF(H24="","",I24*H24)</f>
        <v>38.52585865</v>
      </c>
    </row>
    <row r="25" ht="23.25" hidden="1" customHeight="1">
      <c r="A25" s="52"/>
      <c r="B25" s="52"/>
      <c r="C25" s="153" t="s">
        <v>248</v>
      </c>
      <c r="D25" s="154">
        <f>IF('5b. Usage Summary'!$H$17="","",'5b. Usage Summary'!$H$17*100)</f>
        <v>0</v>
      </c>
      <c r="E25" s="155">
        <v>5.311E-5</v>
      </c>
      <c r="F25" s="156">
        <f t="shared" si="1"/>
        <v>0</v>
      </c>
      <c r="G25" s="153" t="s">
        <v>248</v>
      </c>
      <c r="H25" s="154">
        <f>IF('5b. Usage Summary'!$D$17="","",'5b. Usage Summary'!$D$17*100)</f>
        <v>487700</v>
      </c>
      <c r="I25" s="155">
        <v>5.311E-5</v>
      </c>
      <c r="J25" s="156">
        <f t="shared" si="2"/>
        <v>25.901747</v>
      </c>
    </row>
    <row r="26" ht="22.5" hidden="1" customHeight="1">
      <c r="A26" s="52"/>
      <c r="B26" s="52"/>
      <c r="C26" s="153" t="s">
        <v>250</v>
      </c>
      <c r="D26" s="74"/>
      <c r="E26" s="155">
        <v>7.421E-5</v>
      </c>
      <c r="F26" s="155" t="str">
        <f t="shared" si="1"/>
        <v/>
      </c>
      <c r="G26" s="153" t="s">
        <v>250</v>
      </c>
      <c r="H26" s="74"/>
      <c r="I26" s="155">
        <v>7.421E-5</v>
      </c>
      <c r="J26" s="155" t="str">
        <f t="shared" si="2"/>
        <v/>
      </c>
    </row>
    <row r="27" ht="23.25" hidden="1" customHeight="1">
      <c r="A27" s="52"/>
      <c r="B27" s="52"/>
      <c r="C27" s="153" t="s">
        <v>252</v>
      </c>
      <c r="D27" s="74"/>
      <c r="E27" s="155">
        <v>7.529E-5</v>
      </c>
      <c r="F27" s="155" t="str">
        <f t="shared" si="1"/>
        <v/>
      </c>
      <c r="G27" s="153" t="s">
        <v>252</v>
      </c>
      <c r="H27" s="74"/>
      <c r="I27" s="155">
        <v>7.529E-5</v>
      </c>
      <c r="J27" s="155" t="str">
        <f t="shared" si="2"/>
        <v/>
      </c>
    </row>
    <row r="28" ht="27.75" hidden="1" customHeight="1">
      <c r="A28" s="52"/>
      <c r="B28" s="52"/>
      <c r="C28" s="153" t="s">
        <v>253</v>
      </c>
      <c r="D28" s="74"/>
      <c r="E28" s="155">
        <v>4.493E-5</v>
      </c>
      <c r="F28" s="155" t="str">
        <f t="shared" si="1"/>
        <v/>
      </c>
      <c r="G28" s="153" t="s">
        <v>253</v>
      </c>
      <c r="H28" s="74"/>
      <c r="I28" s="155">
        <v>4.493E-5</v>
      </c>
      <c r="J28" s="155" t="str">
        <f t="shared" si="2"/>
        <v/>
      </c>
    </row>
    <row r="29" ht="15.0" customHeight="1">
      <c r="A29" s="52"/>
      <c r="B29" s="52"/>
      <c r="C29" s="52"/>
      <c r="D29" s="52"/>
      <c r="E29" s="52"/>
      <c r="F29" s="52"/>
      <c r="G29" s="52"/>
      <c r="H29" s="52"/>
      <c r="I29" s="52"/>
      <c r="J29" s="52"/>
    </row>
    <row r="30" ht="17.25" customHeight="1">
      <c r="A30" s="52"/>
      <c r="B30" s="53" t="s">
        <v>235</v>
      </c>
      <c r="C30" s="158" t="s">
        <v>255</v>
      </c>
      <c r="D30" s="159"/>
      <c r="E30" s="159"/>
      <c r="F30" s="159"/>
      <c r="G30" s="159"/>
      <c r="H30" s="91"/>
      <c r="I30" s="52"/>
      <c r="J30" s="52"/>
    </row>
    <row r="31" ht="28.5" customHeight="1">
      <c r="A31" s="52"/>
      <c r="B31" s="52"/>
      <c r="C31" s="160"/>
      <c r="D31" s="68"/>
      <c r="E31" s="161" t="s">
        <v>258</v>
      </c>
      <c r="F31" s="68"/>
      <c r="G31" s="161" t="s">
        <v>259</v>
      </c>
      <c r="H31" s="81"/>
      <c r="I31" s="52"/>
      <c r="J31" s="52"/>
    </row>
    <row r="32" ht="28.5" customHeight="1">
      <c r="A32" s="52"/>
      <c r="B32" s="52"/>
      <c r="C32" s="162" t="s">
        <v>260</v>
      </c>
      <c r="D32" s="68"/>
      <c r="E32" s="163">
        <f>IF('3d. LL97 GHG Summary'!F19="","",'3d. LL97 GHG Summary'!F19)</f>
        <v>0</v>
      </c>
      <c r="F32" s="68"/>
      <c r="G32" s="163">
        <f>IF('3d. LL97 GHG Summary'!H19="","",'3d. LL97 GHG Summary'!H19)</f>
        <v>0</v>
      </c>
      <c r="H32" s="81"/>
      <c r="I32" s="52"/>
      <c r="J32" s="52"/>
    </row>
    <row r="33" ht="28.5" customHeight="1">
      <c r="A33" s="52"/>
      <c r="B33" s="52"/>
      <c r="C33" s="162" t="s">
        <v>265</v>
      </c>
      <c r="D33" s="68"/>
      <c r="E33" s="163">
        <f>IF('5b. Usage Summary'!G17="","",SUM('3d. LL97 GHG Summary'!F24:F28))</f>
        <v>29.53914045</v>
      </c>
      <c r="F33" s="67"/>
      <c r="G33" s="67"/>
      <c r="H33" s="81"/>
      <c r="I33" s="52"/>
      <c r="J33" s="52"/>
    </row>
    <row r="34" ht="28.5" customHeight="1">
      <c r="A34" s="52"/>
      <c r="B34" s="52"/>
      <c r="C34" s="166" t="s">
        <v>266</v>
      </c>
      <c r="D34" s="46"/>
      <c r="E34" s="168" t="str">
        <f>IF(E33="","",IF(E33="","",IF(AND(E33&lt;E32,E33&lt;G32),"This building is subject to meeting LL97 of 2019. The proposed design is estimated to comply with the Carbon Limits for 2024-2029 &amp; 2030-2035.",IF(AND(E33&lt;E32,E33&gt;G32),"This building is subject to meeting LL97 of 2019. By 2030, this proposed design may not comply with the requirements of LL97 based on the estimated carbon emissions.","This building is subject to meeting LL97 of 2019. By 2024, this proposed design may not comply with the requirements of LL97 based on the estimated carbon emissions."))))</f>
        <v>This building is subject to meeting LL97 of 2019. By 2024, this proposed design may not comply with the requirements of LL97 based on the estimated carbon emissions.</v>
      </c>
      <c r="F34" s="45"/>
      <c r="G34" s="45"/>
      <c r="H34" s="169"/>
      <c r="I34" s="52"/>
      <c r="J34" s="52"/>
    </row>
    <row r="35" ht="28.5" customHeight="1">
      <c r="A35" s="52"/>
      <c r="B35" s="52"/>
      <c r="C35" s="170"/>
      <c r="D35" s="51"/>
      <c r="E35" s="49"/>
      <c r="F35" s="50"/>
      <c r="G35" s="50"/>
      <c r="H35" s="103"/>
      <c r="I35" s="52"/>
      <c r="J35" s="52"/>
    </row>
    <row r="36" ht="28.5" customHeight="1">
      <c r="A36" s="52"/>
      <c r="B36" s="52"/>
      <c r="C36" s="171" t="s">
        <v>279</v>
      </c>
      <c r="D36" s="45"/>
      <c r="E36" s="45"/>
      <c r="F36" s="45"/>
      <c r="G36" s="45"/>
      <c r="H36" s="169"/>
      <c r="I36" s="52"/>
      <c r="J36" s="52"/>
    </row>
    <row r="37" ht="19.5" customHeight="1">
      <c r="A37" s="52"/>
      <c r="B37" s="52"/>
      <c r="C37" s="172"/>
      <c r="H37" s="34"/>
      <c r="I37" s="52"/>
      <c r="J37" s="52"/>
    </row>
    <row r="38" ht="15.75" customHeight="1">
      <c r="A38" s="52"/>
      <c r="B38" s="52"/>
      <c r="C38" s="174"/>
      <c r="D38" s="175"/>
      <c r="E38" s="175"/>
      <c r="F38" s="175"/>
      <c r="G38" s="175"/>
      <c r="H38" s="36"/>
      <c r="I38" s="52"/>
      <c r="J38" s="52"/>
    </row>
    <row r="39" ht="15.75" customHeight="1"/>
    <row r="40" ht="15.75" customHeight="1"/>
    <row r="41" ht="15.75" customHeight="1">
      <c r="C41" s="17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3:J5"/>
    <mergeCell ref="C8:I8"/>
    <mergeCell ref="D9:E9"/>
    <mergeCell ref="F9:G9"/>
    <mergeCell ref="H9:I9"/>
    <mergeCell ref="F10:G10"/>
    <mergeCell ref="H10:I10"/>
    <mergeCell ref="D10:E10"/>
    <mergeCell ref="D11:E11"/>
    <mergeCell ref="F11:G11"/>
    <mergeCell ref="H11:I11"/>
    <mergeCell ref="D12:E12"/>
    <mergeCell ref="F12:G12"/>
    <mergeCell ref="H12:I12"/>
    <mergeCell ref="F15:G15"/>
    <mergeCell ref="H15:I15"/>
    <mergeCell ref="D13:E13"/>
    <mergeCell ref="F13:G13"/>
    <mergeCell ref="H13:I13"/>
    <mergeCell ref="D14:E14"/>
    <mergeCell ref="F14:G14"/>
    <mergeCell ref="H14:I14"/>
    <mergeCell ref="D15:E15"/>
    <mergeCell ref="D16:E16"/>
    <mergeCell ref="F16:G16"/>
    <mergeCell ref="H16:I16"/>
    <mergeCell ref="D17:E17"/>
    <mergeCell ref="F17:G17"/>
    <mergeCell ref="H17:I17"/>
    <mergeCell ref="D18:I18"/>
    <mergeCell ref="C19:E19"/>
    <mergeCell ref="F19:G19"/>
    <mergeCell ref="H19:I19"/>
    <mergeCell ref="C20:E20"/>
    <mergeCell ref="F20:I20"/>
    <mergeCell ref="C22:F22"/>
    <mergeCell ref="G22:J22"/>
    <mergeCell ref="C33:D33"/>
    <mergeCell ref="E33:H33"/>
    <mergeCell ref="C34:D35"/>
    <mergeCell ref="E34:H35"/>
    <mergeCell ref="C36:H38"/>
    <mergeCell ref="C30:H30"/>
    <mergeCell ref="C31:D31"/>
    <mergeCell ref="E31:F31"/>
    <mergeCell ref="G31:H31"/>
    <mergeCell ref="C32:D32"/>
    <mergeCell ref="E32:F32"/>
    <mergeCell ref="G32:H32"/>
  </mergeCells>
  <conditionalFormatting sqref="D10:E10">
    <cfRule type="containsBlanks" dxfId="0" priority="1">
      <formula>LEN(TRIM(D10))=0</formula>
    </cfRule>
  </conditionalFormatting>
  <dataValidations>
    <dataValidation type="list" allowBlank="1" showErrorMessage="1" sqref="C10:C17">
      <formula1>Lists!$A$134:$A$143</formula1>
    </dataValidation>
  </dataValidations>
  <printOptions/>
  <pageMargins bottom="0.75" footer="0.0" header="0.0" left="0.5647058823529412" right="0.43529411764705883" top="0.75"/>
  <pageSetup scale="96" orientation="portrait"/>
  <headerFooter>
    <oddFooter>&amp;LVersion 7&amp;RAugust 2023</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9.43"/>
    <col customWidth="1" min="3" max="3" width="12.86"/>
    <col customWidth="1" min="4" max="4" width="12.43"/>
    <col customWidth="1" min="5" max="5" width="10.57"/>
    <col customWidth="1" min="6" max="6" width="8.57"/>
    <col customWidth="1" min="7" max="7" width="11.29"/>
    <col customWidth="1" min="8" max="8" width="11.43"/>
    <col customWidth="1" min="9" max="9" width="12.0"/>
    <col customWidth="1" min="10" max="26" width="8.71"/>
  </cols>
  <sheetData>
    <row r="1">
      <c r="A1" s="55"/>
      <c r="B1" s="55"/>
      <c r="C1" s="55"/>
      <c r="D1" s="55"/>
      <c r="E1" s="55"/>
      <c r="F1" s="55"/>
      <c r="G1" s="55"/>
      <c r="H1" s="55"/>
      <c r="I1" s="55"/>
      <c r="J1" s="55"/>
      <c r="K1" s="55"/>
      <c r="L1" s="55"/>
      <c r="M1" s="55"/>
      <c r="N1" s="55"/>
      <c r="O1" s="55"/>
      <c r="P1" s="55"/>
      <c r="Q1" s="55"/>
      <c r="R1" s="55"/>
      <c r="S1" s="55"/>
      <c r="T1" s="55"/>
      <c r="U1" s="55"/>
      <c r="V1" s="55"/>
      <c r="W1" s="55"/>
      <c r="X1" s="55"/>
      <c r="Y1" s="55"/>
      <c r="Z1" s="55"/>
    </row>
    <row r="2">
      <c r="A2" s="55"/>
      <c r="B2" s="55"/>
      <c r="C2" s="55"/>
      <c r="D2" s="55"/>
      <c r="E2" s="55"/>
      <c r="F2" s="55"/>
      <c r="G2" s="55"/>
      <c r="H2" s="55"/>
      <c r="I2" s="55"/>
      <c r="J2" s="55"/>
      <c r="K2" s="55"/>
      <c r="L2" s="55"/>
      <c r="M2" s="55"/>
      <c r="N2" s="55"/>
      <c r="O2" s="55"/>
      <c r="P2" s="55"/>
      <c r="Q2" s="55"/>
      <c r="R2" s="55"/>
      <c r="S2" s="55"/>
      <c r="T2" s="55"/>
      <c r="U2" s="55"/>
      <c r="V2" s="55"/>
      <c r="W2" s="55"/>
      <c r="X2" s="55"/>
      <c r="Y2" s="55"/>
      <c r="Z2" s="55"/>
    </row>
    <row r="3" ht="14.25" customHeight="1">
      <c r="A3" s="70" t="s">
        <v>144</v>
      </c>
      <c r="B3" s="71" t="s">
        <v>146</v>
      </c>
      <c r="C3" s="67"/>
      <c r="D3" s="68"/>
      <c r="E3" s="55"/>
      <c r="F3" s="55"/>
      <c r="G3" s="55"/>
      <c r="H3" s="55"/>
      <c r="I3" s="55"/>
      <c r="J3" s="55"/>
      <c r="K3" s="55"/>
      <c r="L3" s="55"/>
      <c r="M3" s="55"/>
      <c r="N3" s="55"/>
      <c r="O3" s="55"/>
      <c r="P3" s="55"/>
      <c r="Q3" s="55"/>
      <c r="R3" s="55"/>
      <c r="S3" s="55"/>
      <c r="T3" s="55"/>
      <c r="U3" s="55"/>
      <c r="V3" s="55"/>
      <c r="W3" s="55"/>
      <c r="X3" s="55"/>
      <c r="Y3" s="55"/>
      <c r="Z3" s="55"/>
    </row>
    <row r="4" ht="19.5" customHeight="1">
      <c r="A4" s="70"/>
      <c r="B4" s="77" t="s">
        <v>156</v>
      </c>
      <c r="C4" s="67"/>
      <c r="D4" s="68"/>
      <c r="E4" s="55"/>
      <c r="F4" s="55"/>
      <c r="G4" s="55"/>
      <c r="H4" s="55"/>
      <c r="I4" s="55"/>
      <c r="J4" s="55"/>
      <c r="K4" s="55"/>
      <c r="L4" s="55"/>
      <c r="M4" s="55"/>
      <c r="N4" s="55"/>
      <c r="O4" s="55"/>
      <c r="P4" s="55"/>
      <c r="Q4" s="55"/>
      <c r="R4" s="55"/>
      <c r="S4" s="55"/>
      <c r="T4" s="55"/>
      <c r="U4" s="55"/>
      <c r="V4" s="55"/>
      <c r="W4" s="55"/>
      <c r="X4" s="55"/>
      <c r="Y4" s="55"/>
      <c r="Z4" s="55"/>
    </row>
    <row r="5">
      <c r="A5" s="55"/>
      <c r="B5" s="55"/>
      <c r="C5" s="55"/>
      <c r="D5" s="55"/>
      <c r="E5" s="55"/>
      <c r="F5" s="55"/>
      <c r="G5" s="55"/>
      <c r="H5" s="55"/>
      <c r="I5" s="55"/>
      <c r="J5" s="55"/>
      <c r="K5" s="55"/>
      <c r="L5" s="55"/>
      <c r="M5" s="55"/>
      <c r="N5" s="55"/>
      <c r="O5" s="55"/>
      <c r="P5" s="55"/>
      <c r="Q5" s="55"/>
      <c r="R5" s="55"/>
      <c r="S5" s="55"/>
      <c r="T5" s="55"/>
      <c r="U5" s="55"/>
      <c r="V5" s="55"/>
      <c r="W5" s="55"/>
      <c r="X5" s="55"/>
      <c r="Y5" s="55"/>
      <c r="Z5" s="55"/>
    </row>
    <row r="6">
      <c r="A6" s="87" t="s">
        <v>171</v>
      </c>
      <c r="B6" s="88" t="s">
        <v>172</v>
      </c>
      <c r="C6" s="67"/>
      <c r="D6" s="67"/>
      <c r="E6" s="67"/>
      <c r="F6" s="67"/>
      <c r="G6" s="67"/>
      <c r="H6" s="67"/>
      <c r="I6" s="68"/>
      <c r="J6" s="55"/>
      <c r="K6" s="55"/>
      <c r="L6" s="55"/>
      <c r="M6" s="55"/>
      <c r="N6" s="55"/>
      <c r="O6" s="55"/>
      <c r="P6" s="55"/>
      <c r="Q6" s="55"/>
      <c r="R6" s="55"/>
      <c r="S6" s="55"/>
      <c r="T6" s="55"/>
      <c r="U6" s="55"/>
      <c r="V6" s="55"/>
      <c r="W6" s="55"/>
      <c r="X6" s="55"/>
      <c r="Y6" s="55"/>
      <c r="Z6" s="55"/>
    </row>
    <row r="7" ht="45.0" customHeight="1">
      <c r="A7" s="95" t="s">
        <v>175</v>
      </c>
      <c r="B7" s="68"/>
      <c r="C7" s="97" t="s">
        <v>177</v>
      </c>
      <c r="D7" s="99" t="s">
        <v>178</v>
      </c>
      <c r="E7" s="99" t="s">
        <v>180</v>
      </c>
      <c r="F7" s="99" t="s">
        <v>178</v>
      </c>
      <c r="G7" s="99" t="s">
        <v>182</v>
      </c>
      <c r="H7" s="99" t="s">
        <v>183</v>
      </c>
      <c r="I7" s="99" t="s">
        <v>184</v>
      </c>
      <c r="J7" s="105"/>
      <c r="K7" s="105"/>
      <c r="L7" s="105"/>
      <c r="M7" s="105"/>
      <c r="N7" s="105"/>
      <c r="O7" s="105"/>
      <c r="P7" s="105"/>
      <c r="Q7" s="105"/>
      <c r="R7" s="105"/>
      <c r="S7" s="105"/>
      <c r="T7" s="105"/>
      <c r="U7" s="105"/>
      <c r="V7" s="105"/>
      <c r="W7" s="105"/>
      <c r="X7" s="105"/>
      <c r="Y7" s="105"/>
      <c r="Z7" s="105"/>
    </row>
    <row r="8" ht="18.75" customHeight="1">
      <c r="A8" s="95" t="s">
        <v>186</v>
      </c>
      <c r="B8" s="68"/>
      <c r="C8" s="109" t="s">
        <v>187</v>
      </c>
      <c r="D8" s="110">
        <v>0.25</v>
      </c>
      <c r="E8" s="114">
        <f>'5a. Baseline Rotations'!O23</f>
        <v>33332</v>
      </c>
      <c r="F8" s="110">
        <v>0.25</v>
      </c>
      <c r="G8" s="115">
        <v>25556.0</v>
      </c>
      <c r="H8" s="116" t="s">
        <v>194</v>
      </c>
      <c r="I8" s="112" t="s">
        <v>195</v>
      </c>
      <c r="J8" s="105"/>
      <c r="K8" s="105"/>
      <c r="L8" s="105"/>
      <c r="M8" s="105"/>
      <c r="N8" s="105"/>
      <c r="O8" s="105"/>
      <c r="P8" s="105"/>
      <c r="Q8" s="105"/>
      <c r="R8" s="105"/>
      <c r="S8" s="105"/>
      <c r="T8" s="105"/>
      <c r="U8" s="105"/>
      <c r="V8" s="105"/>
      <c r="W8" s="105"/>
      <c r="X8" s="105"/>
      <c r="Y8" s="105"/>
      <c r="Z8" s="105"/>
    </row>
    <row r="9" ht="15.0" customHeight="1">
      <c r="A9" s="95" t="s">
        <v>197</v>
      </c>
      <c r="B9" s="68"/>
      <c r="C9" s="109" t="s">
        <v>187</v>
      </c>
      <c r="D9" s="110">
        <v>1.45</v>
      </c>
      <c r="E9" s="114">
        <f>'5a. Baseline Rotations'!O24</f>
        <v>7070</v>
      </c>
      <c r="F9" s="110"/>
      <c r="G9" s="115"/>
      <c r="H9" s="116" t="s">
        <v>194</v>
      </c>
      <c r="I9" s="112" t="s">
        <v>195</v>
      </c>
      <c r="J9" s="105"/>
      <c r="K9" s="105"/>
      <c r="L9" s="105"/>
      <c r="M9" s="105"/>
      <c r="N9" s="105"/>
      <c r="O9" s="105"/>
      <c r="P9" s="105"/>
      <c r="Q9" s="105"/>
      <c r="R9" s="105"/>
      <c r="S9" s="105"/>
      <c r="T9" s="105"/>
      <c r="U9" s="105"/>
      <c r="V9" s="105"/>
      <c r="W9" s="105"/>
      <c r="X9" s="105"/>
      <c r="Y9" s="105"/>
      <c r="Z9" s="105"/>
    </row>
    <row r="10" ht="18.0" customHeight="1">
      <c r="A10" s="95" t="s">
        <v>202</v>
      </c>
      <c r="B10" s="68"/>
      <c r="C10" s="109"/>
      <c r="D10" s="110"/>
      <c r="E10" s="114" t="str">
        <f>'5a. Baseline Rotations'!O25</f>
        <v/>
      </c>
      <c r="F10" s="110"/>
      <c r="G10" s="115"/>
      <c r="H10" s="116" t="s">
        <v>194</v>
      </c>
      <c r="I10" s="112" t="s">
        <v>195</v>
      </c>
      <c r="J10" s="105"/>
      <c r="K10" s="105"/>
      <c r="L10" s="105"/>
      <c r="M10" s="105"/>
      <c r="N10" s="105"/>
      <c r="O10" s="105"/>
      <c r="P10" s="105"/>
      <c r="Q10" s="105"/>
      <c r="R10" s="105"/>
      <c r="S10" s="105"/>
      <c r="T10" s="105"/>
      <c r="U10" s="105"/>
      <c r="V10" s="105"/>
      <c r="W10" s="105"/>
      <c r="X10" s="105"/>
      <c r="Y10" s="105"/>
      <c r="Z10" s="105"/>
    </row>
    <row r="11" ht="15.0" customHeight="1">
      <c r="A11" s="124"/>
      <c r="B11" s="67"/>
      <c r="C11" s="67"/>
      <c r="D11" s="67"/>
      <c r="E11" s="67"/>
      <c r="F11" s="67"/>
      <c r="G11" s="68"/>
      <c r="H11" s="99" t="s">
        <v>205</v>
      </c>
      <c r="I11" s="99" t="s">
        <v>206</v>
      </c>
      <c r="J11" s="105"/>
      <c r="K11" s="105"/>
      <c r="L11" s="105"/>
      <c r="M11" s="105"/>
      <c r="N11" s="105"/>
      <c r="O11" s="105"/>
      <c r="P11" s="105"/>
      <c r="Q11" s="105"/>
      <c r="R11" s="105"/>
      <c r="S11" s="105"/>
      <c r="T11" s="105"/>
      <c r="U11" s="105"/>
      <c r="V11" s="105"/>
      <c r="W11" s="105"/>
      <c r="X11" s="105"/>
      <c r="Y11" s="105"/>
      <c r="Z11" s="105"/>
    </row>
    <row r="12" ht="23.25" customHeight="1">
      <c r="A12" s="95" t="s">
        <v>209</v>
      </c>
      <c r="B12" s="68"/>
      <c r="C12" s="99"/>
      <c r="D12" s="99"/>
      <c r="E12" s="114">
        <f>IF(SUM(E8:E10)=0,"",SUM(E8:E10))</f>
        <v>40402</v>
      </c>
      <c r="F12" s="99"/>
      <c r="G12" s="114">
        <f>IF(SUM(G8:G10)=0,"",SUM(G8:G10))</f>
        <v>25556</v>
      </c>
      <c r="H12" s="114">
        <f>IF(E12="","",E12-G12)</f>
        <v>14846</v>
      </c>
      <c r="I12" s="114" t="str">
        <f>IF(E12="","",IF(B4="Section 11 ECB",IF(G12&lt;E12,"COMPLIES","DOES NOT COMPLY"),IF(D21&lt;C21,"COMPLIES","DOES NOT COMPLY")))</f>
        <v>COMPLIES</v>
      </c>
      <c r="J12" s="105"/>
      <c r="K12" s="105"/>
      <c r="L12" s="105"/>
      <c r="M12" s="105"/>
      <c r="N12" s="105"/>
      <c r="O12" s="105"/>
      <c r="P12" s="105"/>
      <c r="Q12" s="105"/>
      <c r="R12" s="105"/>
      <c r="S12" s="105"/>
      <c r="T12" s="105"/>
      <c r="U12" s="105"/>
      <c r="V12" s="105"/>
      <c r="W12" s="105"/>
      <c r="X12" s="105"/>
      <c r="Y12" s="105"/>
      <c r="Z12" s="105"/>
    </row>
    <row r="13">
      <c r="A13" s="55"/>
      <c r="B13" s="55"/>
      <c r="C13" s="55"/>
      <c r="D13" s="55"/>
      <c r="E13" s="135"/>
      <c r="F13" s="55"/>
      <c r="G13" s="55"/>
      <c r="H13" s="55"/>
      <c r="I13" s="55"/>
      <c r="J13" s="55"/>
      <c r="K13" s="55"/>
      <c r="L13" s="55"/>
      <c r="M13" s="55"/>
      <c r="N13" s="55"/>
      <c r="O13" s="55"/>
      <c r="P13" s="55"/>
      <c r="Q13" s="55"/>
      <c r="R13" s="55"/>
      <c r="S13" s="55"/>
      <c r="T13" s="55"/>
      <c r="U13" s="55"/>
      <c r="V13" s="55"/>
      <c r="W13" s="55"/>
      <c r="X13" s="55"/>
      <c r="Y13" s="55"/>
      <c r="Z13" s="55"/>
    </row>
    <row r="14">
      <c r="A14" s="55"/>
      <c r="B14" s="55"/>
      <c r="C14" s="55"/>
      <c r="D14" s="55"/>
      <c r="E14" s="55"/>
      <c r="F14" s="55"/>
      <c r="G14" s="138"/>
      <c r="H14" s="55"/>
      <c r="I14" s="55"/>
      <c r="J14" s="55"/>
      <c r="K14" s="55"/>
      <c r="L14" s="55"/>
      <c r="M14" s="55"/>
      <c r="N14" s="55"/>
      <c r="O14" s="55"/>
      <c r="P14" s="55"/>
      <c r="Q14" s="55"/>
      <c r="R14" s="55"/>
      <c r="S14" s="55"/>
      <c r="T14" s="55"/>
      <c r="U14" s="55"/>
      <c r="V14" s="55"/>
      <c r="W14" s="55"/>
      <c r="X14" s="55"/>
      <c r="Y14" s="55"/>
      <c r="Z14" s="55"/>
    </row>
    <row r="15" ht="20.25" customHeight="1">
      <c r="A15" s="87" t="s">
        <v>226</v>
      </c>
      <c r="B15" s="88" t="s">
        <v>227</v>
      </c>
      <c r="C15" s="67"/>
      <c r="D15" s="68"/>
      <c r="E15" s="55"/>
      <c r="F15" s="87" t="s">
        <v>228</v>
      </c>
      <c r="G15" s="88" t="s">
        <v>229</v>
      </c>
      <c r="H15" s="67"/>
      <c r="I15" s="68"/>
      <c r="J15" s="55"/>
      <c r="K15" s="55"/>
      <c r="L15" s="55"/>
      <c r="M15" s="55"/>
      <c r="N15" s="55"/>
      <c r="O15" s="55"/>
      <c r="P15" s="55"/>
      <c r="Q15" s="55"/>
      <c r="R15" s="55"/>
      <c r="S15" s="55"/>
      <c r="T15" s="55"/>
      <c r="U15" s="55"/>
      <c r="V15" s="55"/>
      <c r="W15" s="55"/>
      <c r="X15" s="55"/>
      <c r="Y15" s="55"/>
      <c r="Z15" s="55"/>
    </row>
    <row r="16" ht="21.75" customHeight="1">
      <c r="A16" s="88"/>
      <c r="B16" s="68"/>
      <c r="C16" s="87" t="s">
        <v>230</v>
      </c>
      <c r="D16" s="87" t="s">
        <v>231</v>
      </c>
      <c r="E16" s="55"/>
      <c r="F16" s="88"/>
      <c r="G16" s="68"/>
      <c r="H16" s="87" t="s">
        <v>230</v>
      </c>
      <c r="I16" s="87" t="s">
        <v>231</v>
      </c>
      <c r="J16" s="55"/>
      <c r="K16" s="55"/>
      <c r="L16" s="55"/>
      <c r="M16" s="55"/>
      <c r="N16" s="55"/>
      <c r="O16" s="55"/>
      <c r="P16" s="55"/>
      <c r="Q16" s="55"/>
      <c r="R16" s="55"/>
      <c r="S16" s="55"/>
      <c r="T16" s="55"/>
      <c r="U16" s="55"/>
      <c r="V16" s="55"/>
      <c r="W16" s="55"/>
      <c r="X16" s="55"/>
      <c r="Y16" s="55"/>
      <c r="Z16" s="55"/>
    </row>
    <row r="17" ht="39.75" customHeight="1">
      <c r="A17" s="145" t="s">
        <v>234</v>
      </c>
      <c r="B17" s="68"/>
      <c r="C17" s="149">
        <f>IF(D17="","",IF(D17="Weighted Average",D25,VLOOKUP(D17,Lists!M13:N22,2)))</f>
        <v>0.67</v>
      </c>
      <c r="D17" s="150" t="s">
        <v>239</v>
      </c>
      <c r="E17" s="55"/>
      <c r="F17" s="145" t="s">
        <v>234</v>
      </c>
      <c r="G17" s="68"/>
      <c r="H17" s="149">
        <f>IF(I17="","",IF(I17="Weighted Average",D27,VLOOKUP(I17,Lists!M13:O22,3)))</f>
        <v>0.68</v>
      </c>
      <c r="I17" s="152" t="str">
        <f>IF(D17="","",D17)</f>
        <v>Multifamily</v>
      </c>
      <c r="J17" s="55"/>
      <c r="K17" s="55"/>
      <c r="L17" s="55"/>
      <c r="M17" s="55"/>
      <c r="N17" s="55"/>
      <c r="O17" s="55"/>
      <c r="P17" s="55"/>
      <c r="Q17" s="55"/>
      <c r="R17" s="55"/>
      <c r="S17" s="55"/>
      <c r="T17" s="55"/>
      <c r="U17" s="55"/>
      <c r="V17" s="55"/>
      <c r="W17" s="55"/>
      <c r="X17" s="55"/>
      <c r="Y17" s="55"/>
      <c r="Z17" s="55"/>
    </row>
    <row r="18" ht="28.5" customHeight="1">
      <c r="A18" s="145" t="s">
        <v>245</v>
      </c>
      <c r="B18" s="68"/>
      <c r="C18" s="114">
        <f>IF(B4="Section 11 ECB","",IF(C20="","",C20-C19))</f>
        <v>39679.75</v>
      </c>
      <c r="D18" s="114">
        <f>IF(B4="Section 11 ECB","",IF(D20="","",D20-D19))</f>
        <v>24833.75</v>
      </c>
      <c r="E18" s="55"/>
      <c r="F18" s="145" t="s">
        <v>246</v>
      </c>
      <c r="G18" s="68"/>
      <c r="H18" s="157">
        <f>IF(B4="Section 11 ECB","",IF(I17="","",H20-H19))</f>
        <v>1646956.462</v>
      </c>
      <c r="I18" s="157">
        <f>IF(B4="Section 11 ECB","",IF(I17="","",I20-I19))</f>
        <v>864282.8016</v>
      </c>
      <c r="J18" s="55"/>
      <c r="K18" s="55"/>
      <c r="L18" s="55"/>
      <c r="M18" s="55"/>
      <c r="N18" s="55"/>
      <c r="O18" s="55"/>
      <c r="P18" s="55"/>
      <c r="Q18" s="55"/>
      <c r="R18" s="55"/>
      <c r="S18" s="55"/>
      <c r="T18" s="55"/>
      <c r="U18" s="55"/>
      <c r="V18" s="55"/>
      <c r="W18" s="55"/>
      <c r="X18" s="55"/>
      <c r="Y18" s="55"/>
      <c r="Z18" s="55"/>
    </row>
    <row r="19" ht="28.5" customHeight="1">
      <c r="A19" s="145" t="s">
        <v>249</v>
      </c>
      <c r="B19" s="68"/>
      <c r="C19" s="114">
        <f>('5b. Usage Summary'!$C$7)*D8+('5b. Usage Summary'!$D$7)*D9</f>
        <v>722.25</v>
      </c>
      <c r="D19" s="114">
        <f>('5b. Usage Summary'!$G$7)*F8+('5b. Usage Summary'!$H$7)*F9</f>
        <v>722.25</v>
      </c>
      <c r="E19" s="55"/>
      <c r="F19" s="145" t="s">
        <v>251</v>
      </c>
      <c r="G19" s="68"/>
      <c r="H19" s="157">
        <f>('5b. Usage Summary'!$C$7)*3.412*2.55+('5b. Usage Summary'!$D$7)*100*1.05</f>
        <v>25136.0334</v>
      </c>
      <c r="I19" s="157">
        <f>('5b. Usage Summary'!$G$7)*3.412*2.55+('5b. Usage Summary'!$H$7)*100*1.05</f>
        <v>25136.0334</v>
      </c>
      <c r="J19" s="55"/>
      <c r="K19" s="55"/>
      <c r="L19" s="55"/>
      <c r="M19" s="55"/>
      <c r="N19" s="55"/>
      <c r="O19" s="55"/>
      <c r="P19" s="55"/>
      <c r="Q19" s="55"/>
      <c r="R19" s="55"/>
      <c r="S19" s="55"/>
      <c r="T19" s="55"/>
      <c r="U19" s="55"/>
      <c r="V19" s="55"/>
      <c r="W19" s="55"/>
      <c r="X19" s="55"/>
      <c r="Y19" s="55"/>
      <c r="Z19" s="55"/>
    </row>
    <row r="20" ht="28.5" customHeight="1">
      <c r="A20" s="145" t="s">
        <v>254</v>
      </c>
      <c r="B20" s="68"/>
      <c r="C20" s="114">
        <f>IF(B4="Section 11 ECB","",E12)</f>
        <v>40402</v>
      </c>
      <c r="D20" s="114">
        <f>IF(B4="Section 11 ECB","",G12)</f>
        <v>25556</v>
      </c>
      <c r="E20" s="55"/>
      <c r="F20" s="145" t="s">
        <v>257</v>
      </c>
      <c r="G20" s="68"/>
      <c r="H20" s="157">
        <f>IF(B4="Section 11 ECB","",IF(I17="","",SUM('5b. Usage Summary'!C17*3.412*2.55,'5b. Usage Summary'!D17*100*1.05)))</f>
        <v>1672092.495</v>
      </c>
      <c r="I20" s="157">
        <f>IF(B4="Section 11 ECB","",IF(I17="","",SUM('5b. Usage Summary'!G17*3.412*2.55,'5b. Usage Summary'!H17*100*1.05)))</f>
        <v>889418.835</v>
      </c>
      <c r="J20" s="55"/>
      <c r="K20" s="55"/>
      <c r="L20" s="55"/>
      <c r="M20" s="55"/>
      <c r="N20" s="55"/>
      <c r="O20" s="55"/>
      <c r="P20" s="55"/>
      <c r="Q20" s="55"/>
      <c r="R20" s="55"/>
      <c r="S20" s="55"/>
      <c r="T20" s="55"/>
      <c r="U20" s="55"/>
      <c r="V20" s="55"/>
      <c r="W20" s="55"/>
      <c r="X20" s="55"/>
      <c r="Y20" s="55"/>
      <c r="Z20" s="55"/>
    </row>
    <row r="21" ht="28.5" customHeight="1">
      <c r="A21" s="145" t="s">
        <v>261</v>
      </c>
      <c r="B21" s="68"/>
      <c r="C21" s="149">
        <f>IF(C20="","",(C19+(C18*C17))/C20)</f>
        <v>0.6758992748</v>
      </c>
      <c r="D21" s="149">
        <f>IF(D20="","",D20/C20)</f>
        <v>0.6325429434</v>
      </c>
      <c r="E21" s="55"/>
      <c r="F21" s="145" t="s">
        <v>264</v>
      </c>
      <c r="G21" s="68"/>
      <c r="H21" s="149">
        <f>IF(H20="","",(H19+(H18*H17))/H20)</f>
        <v>0.684810458</v>
      </c>
      <c r="I21" s="149">
        <f>IF(I20="","",I20/H20)</f>
        <v>0.5319196382</v>
      </c>
      <c r="J21" s="55"/>
      <c r="K21" s="55"/>
      <c r="L21" s="55"/>
      <c r="M21" s="55"/>
      <c r="N21" s="55"/>
      <c r="O21" s="55"/>
      <c r="P21" s="55"/>
      <c r="Q21" s="55"/>
      <c r="R21" s="55"/>
      <c r="S21" s="55"/>
      <c r="T21" s="55"/>
      <c r="U21" s="55"/>
      <c r="V21" s="55"/>
      <c r="W21" s="55"/>
      <c r="X21" s="55"/>
      <c r="Y21" s="55"/>
      <c r="Z21" s="55"/>
    </row>
    <row r="22" ht="15.0" customHeight="1">
      <c r="A22" s="55"/>
      <c r="B22" s="55"/>
      <c r="C22" s="167"/>
      <c r="D22" s="55"/>
      <c r="E22" s="55"/>
      <c r="F22" s="55"/>
      <c r="G22" s="55"/>
      <c r="H22" s="55"/>
      <c r="I22" s="55"/>
      <c r="J22" s="55"/>
      <c r="K22" s="55"/>
      <c r="L22" s="55"/>
      <c r="M22" s="55"/>
      <c r="N22" s="55"/>
      <c r="O22" s="55"/>
      <c r="P22" s="55"/>
      <c r="Q22" s="55"/>
      <c r="R22" s="55"/>
      <c r="S22" s="55"/>
      <c r="T22" s="55"/>
      <c r="U22" s="55"/>
      <c r="V22" s="55"/>
      <c r="W22" s="55"/>
      <c r="X22" s="55"/>
      <c r="Y22" s="55"/>
      <c r="Z22" s="55"/>
    </row>
    <row r="23" ht="18.0" customHeight="1">
      <c r="A23" s="87" t="s">
        <v>268</v>
      </c>
      <c r="B23" s="88" t="s">
        <v>269</v>
      </c>
      <c r="C23" s="68"/>
      <c r="D23" s="55"/>
      <c r="E23" s="55"/>
      <c r="F23" s="87" t="s">
        <v>274</v>
      </c>
      <c r="G23" s="88" t="s">
        <v>275</v>
      </c>
      <c r="H23" s="67"/>
      <c r="I23" s="68"/>
      <c r="J23" s="55"/>
      <c r="K23" s="55"/>
      <c r="L23" s="55"/>
      <c r="M23" s="55"/>
      <c r="N23" s="55"/>
      <c r="O23" s="55"/>
      <c r="P23" s="55"/>
      <c r="Q23" s="55"/>
      <c r="R23" s="55"/>
      <c r="S23" s="55"/>
      <c r="T23" s="55"/>
      <c r="U23" s="55"/>
      <c r="V23" s="55"/>
      <c r="W23" s="55"/>
      <c r="X23" s="55"/>
      <c r="Y23" s="55"/>
      <c r="Z23" s="55"/>
    </row>
    <row r="24" ht="23.25" customHeight="1">
      <c r="A24" s="88" t="s">
        <v>280</v>
      </c>
      <c r="B24" s="68"/>
      <c r="C24" s="87" t="s">
        <v>281</v>
      </c>
      <c r="D24" s="87" t="s">
        <v>282</v>
      </c>
      <c r="E24" s="55"/>
      <c r="F24" s="124" t="s">
        <v>283</v>
      </c>
      <c r="G24" s="67"/>
      <c r="H24" s="68"/>
      <c r="I24" s="173"/>
      <c r="J24" s="55"/>
      <c r="K24" s="55"/>
      <c r="L24" s="55"/>
      <c r="M24" s="55"/>
      <c r="N24" s="55"/>
      <c r="O24" s="55"/>
      <c r="P24" s="55"/>
      <c r="Q24" s="55"/>
      <c r="R24" s="55"/>
      <c r="S24" s="55"/>
      <c r="T24" s="55"/>
      <c r="U24" s="55"/>
      <c r="V24" s="55"/>
      <c r="W24" s="55"/>
      <c r="X24" s="55"/>
      <c r="Y24" s="55"/>
      <c r="Z24" s="55"/>
    </row>
    <row r="25" ht="20.25" customHeight="1">
      <c r="A25" s="124" t="s">
        <v>284</v>
      </c>
      <c r="B25" s="68"/>
      <c r="C25" s="177"/>
      <c r="D25" s="149" t="str">
        <f>IF(AND(D17="Weighted Average",SUM(C25:C34)&lt;&gt;0),SUMPRODUCT(C25:C34,Lists!N13:N22)/SUM(C25:C34),"Input modeled areas for each space classification")</f>
        <v>Input modeled areas for each space classification</v>
      </c>
      <c r="E25" s="55"/>
      <c r="F25" s="124" t="s">
        <v>285</v>
      </c>
      <c r="G25" s="67"/>
      <c r="H25" s="68"/>
      <c r="I25" s="173"/>
      <c r="J25" s="55"/>
      <c r="K25" s="55"/>
      <c r="L25" s="55"/>
      <c r="M25" s="55"/>
      <c r="N25" s="55"/>
      <c r="O25" s="55"/>
      <c r="P25" s="55"/>
      <c r="Q25" s="55"/>
      <c r="R25" s="55"/>
      <c r="S25" s="55"/>
      <c r="T25" s="55"/>
      <c r="U25" s="55"/>
      <c r="V25" s="55"/>
      <c r="W25" s="55"/>
      <c r="X25" s="55"/>
      <c r="Y25" s="55"/>
      <c r="Z25" s="55"/>
    </row>
    <row r="26" ht="22.5" customHeight="1">
      <c r="A26" s="124" t="s">
        <v>286</v>
      </c>
      <c r="B26" s="68"/>
      <c r="C26" s="177"/>
      <c r="D26" s="87" t="s">
        <v>287</v>
      </c>
      <c r="E26" s="135"/>
      <c r="F26" s="135"/>
      <c r="G26" s="135"/>
      <c r="H26" s="55"/>
      <c r="I26" s="55"/>
      <c r="J26" s="55"/>
      <c r="K26" s="55"/>
      <c r="L26" s="55"/>
      <c r="M26" s="55"/>
      <c r="N26" s="55"/>
      <c r="O26" s="55"/>
      <c r="P26" s="55"/>
      <c r="Q26" s="55"/>
      <c r="R26" s="55"/>
      <c r="S26" s="55"/>
      <c r="T26" s="55"/>
      <c r="U26" s="55"/>
      <c r="V26" s="55"/>
      <c r="W26" s="55"/>
      <c r="X26" s="55"/>
      <c r="Y26" s="55"/>
      <c r="Z26" s="55"/>
    </row>
    <row r="27" ht="20.25" customHeight="1">
      <c r="A27" s="124" t="s">
        <v>288</v>
      </c>
      <c r="B27" s="68"/>
      <c r="C27" s="177"/>
      <c r="D27" s="149" t="str">
        <f>IF(AND(I17="Weighted Average",SUM(C25:C34)&lt;&gt;0),SUMPRODUCT(C25:C34,Lists!O13:O22)/SUM(C25:C34),"Input modeled areas for each space classification")</f>
        <v>Input modeled areas for each space classification</v>
      </c>
      <c r="E27" s="135"/>
      <c r="F27" s="135"/>
      <c r="G27" s="135"/>
      <c r="H27" s="55"/>
      <c r="I27" s="55"/>
      <c r="J27" s="55"/>
      <c r="K27" s="55"/>
      <c r="L27" s="55"/>
      <c r="M27" s="55"/>
      <c r="N27" s="55"/>
      <c r="O27" s="55"/>
      <c r="P27" s="55"/>
      <c r="Q27" s="55"/>
      <c r="R27" s="55"/>
      <c r="S27" s="55"/>
      <c r="T27" s="55"/>
      <c r="U27" s="55"/>
      <c r="V27" s="55"/>
      <c r="W27" s="55"/>
      <c r="X27" s="55"/>
      <c r="Y27" s="55"/>
      <c r="Z27" s="55"/>
    </row>
    <row r="28" ht="17.25" customHeight="1">
      <c r="A28" s="124" t="s">
        <v>289</v>
      </c>
      <c r="B28" s="68"/>
      <c r="C28" s="177"/>
      <c r="D28" s="180"/>
      <c r="E28" s="135"/>
      <c r="F28" s="135"/>
      <c r="G28" s="135"/>
      <c r="H28" s="135"/>
      <c r="I28" s="135"/>
      <c r="J28" s="55"/>
      <c r="K28" s="55"/>
      <c r="L28" s="55"/>
      <c r="M28" s="55"/>
      <c r="N28" s="55"/>
      <c r="O28" s="55"/>
      <c r="P28" s="55"/>
      <c r="Q28" s="55"/>
      <c r="R28" s="55"/>
      <c r="S28" s="55"/>
      <c r="T28" s="55"/>
      <c r="U28" s="55"/>
      <c r="V28" s="55"/>
      <c r="W28" s="55"/>
      <c r="X28" s="55"/>
      <c r="Y28" s="55"/>
      <c r="Z28" s="55"/>
    </row>
    <row r="29" ht="15.0" customHeight="1">
      <c r="A29" s="124" t="s">
        <v>239</v>
      </c>
      <c r="B29" s="68"/>
      <c r="C29" s="177">
        <v>11690.791</v>
      </c>
      <c r="D29" s="47"/>
      <c r="E29" s="135"/>
      <c r="F29" s="135"/>
      <c r="G29" s="135"/>
      <c r="H29" s="135"/>
      <c r="I29" s="135"/>
      <c r="J29" s="55"/>
      <c r="K29" s="55"/>
      <c r="L29" s="55"/>
      <c r="M29" s="55"/>
      <c r="N29" s="55"/>
      <c r="O29" s="55"/>
      <c r="P29" s="55"/>
      <c r="Q29" s="55"/>
      <c r="R29" s="55"/>
      <c r="S29" s="55"/>
      <c r="T29" s="55"/>
      <c r="U29" s="55"/>
      <c r="V29" s="55"/>
      <c r="W29" s="55"/>
      <c r="X29" s="55"/>
      <c r="Y29" s="55"/>
      <c r="Z29" s="55"/>
    </row>
    <row r="30" ht="15.75" customHeight="1">
      <c r="A30" s="124" t="s">
        <v>290</v>
      </c>
      <c r="B30" s="68"/>
      <c r="C30" s="177"/>
      <c r="D30" s="47"/>
      <c r="E30" s="135"/>
      <c r="F30" s="135"/>
      <c r="G30" s="135"/>
      <c r="H30" s="135"/>
      <c r="I30" s="135"/>
      <c r="J30" s="55"/>
      <c r="K30" s="55"/>
      <c r="L30" s="55"/>
      <c r="M30" s="55"/>
      <c r="N30" s="55"/>
      <c r="O30" s="55"/>
      <c r="P30" s="55"/>
      <c r="Q30" s="55"/>
      <c r="R30" s="55"/>
      <c r="S30" s="55"/>
      <c r="T30" s="55"/>
      <c r="U30" s="55"/>
      <c r="V30" s="55"/>
      <c r="W30" s="55"/>
      <c r="X30" s="55"/>
      <c r="Y30" s="55"/>
      <c r="Z30" s="55"/>
    </row>
    <row r="31" ht="15.75" customHeight="1">
      <c r="A31" s="124" t="s">
        <v>291</v>
      </c>
      <c r="B31" s="68"/>
      <c r="C31" s="177"/>
      <c r="D31" s="135"/>
      <c r="E31" s="135"/>
      <c r="F31" s="55"/>
      <c r="G31" s="55"/>
      <c r="H31" s="55"/>
      <c r="I31" s="55"/>
      <c r="J31" s="55"/>
      <c r="K31" s="55"/>
      <c r="L31" s="55"/>
      <c r="M31" s="55"/>
      <c r="N31" s="55"/>
      <c r="O31" s="55"/>
      <c r="P31" s="55"/>
      <c r="Q31" s="55"/>
      <c r="R31" s="55"/>
      <c r="S31" s="55"/>
      <c r="T31" s="55"/>
      <c r="U31" s="55"/>
      <c r="V31" s="55"/>
      <c r="W31" s="55"/>
      <c r="X31" s="55"/>
      <c r="Y31" s="55"/>
      <c r="Z31" s="55"/>
    </row>
    <row r="32" ht="15.75" customHeight="1">
      <c r="A32" s="124" t="s">
        <v>292</v>
      </c>
      <c r="B32" s="68"/>
      <c r="C32" s="177"/>
      <c r="D32" s="135"/>
      <c r="E32" s="135"/>
      <c r="F32" s="55"/>
      <c r="G32" s="55"/>
      <c r="H32" s="55"/>
      <c r="I32" s="55"/>
      <c r="J32" s="55"/>
      <c r="K32" s="55"/>
      <c r="L32" s="55"/>
      <c r="M32" s="55"/>
      <c r="N32" s="55"/>
      <c r="O32" s="55"/>
      <c r="P32" s="55"/>
      <c r="Q32" s="55"/>
      <c r="R32" s="55"/>
      <c r="S32" s="55"/>
      <c r="T32" s="55"/>
      <c r="U32" s="55"/>
      <c r="V32" s="55"/>
      <c r="W32" s="55"/>
      <c r="X32" s="55"/>
      <c r="Y32" s="55"/>
      <c r="Z32" s="55"/>
    </row>
    <row r="33" ht="17.25" customHeight="1">
      <c r="A33" s="124" t="s">
        <v>293</v>
      </c>
      <c r="B33" s="68"/>
      <c r="C33" s="177"/>
      <c r="D33" s="135"/>
      <c r="E33" s="135"/>
      <c r="F33" s="55"/>
      <c r="G33" s="55"/>
      <c r="H33" s="55"/>
      <c r="I33" s="55"/>
      <c r="J33" s="55"/>
      <c r="K33" s="55"/>
      <c r="L33" s="55"/>
      <c r="M33" s="55"/>
      <c r="N33" s="55"/>
      <c r="O33" s="55"/>
      <c r="P33" s="55"/>
      <c r="Q33" s="55"/>
      <c r="R33" s="55"/>
      <c r="S33" s="55"/>
      <c r="T33" s="55"/>
      <c r="U33" s="55"/>
      <c r="V33" s="55"/>
      <c r="W33" s="55"/>
      <c r="X33" s="55"/>
      <c r="Y33" s="55"/>
      <c r="Z33" s="55"/>
    </row>
    <row r="34" ht="15.0" customHeight="1">
      <c r="A34" s="124" t="s">
        <v>294</v>
      </c>
      <c r="B34" s="68"/>
      <c r="C34" s="177"/>
      <c r="D34" s="135"/>
      <c r="E34" s="135"/>
      <c r="F34" s="55"/>
      <c r="G34" s="55"/>
      <c r="H34" s="55"/>
      <c r="I34" s="55"/>
      <c r="J34" s="55"/>
      <c r="K34" s="55"/>
      <c r="L34" s="55"/>
      <c r="M34" s="55"/>
      <c r="N34" s="55"/>
      <c r="O34" s="55"/>
      <c r="P34" s="55"/>
      <c r="Q34" s="55"/>
      <c r="R34" s="55"/>
      <c r="S34" s="55"/>
      <c r="T34" s="55"/>
      <c r="U34" s="55"/>
      <c r="V34" s="55"/>
      <c r="W34" s="55"/>
      <c r="X34" s="55"/>
      <c r="Y34" s="55"/>
      <c r="Z34" s="55"/>
    </row>
    <row r="35" ht="25.5" customHeight="1">
      <c r="A35" s="124" t="s">
        <v>209</v>
      </c>
      <c r="B35" s="68"/>
      <c r="C35" s="157">
        <f>IF(SUM(C25:C34)&lt;&gt;'1,2,3 Information'!C32,"NOT EQUAL TO MODELED AREA",SUM(C25:C34))</f>
        <v>11690.791</v>
      </c>
      <c r="D35" s="135"/>
      <c r="E35" s="135"/>
      <c r="F35" s="55"/>
      <c r="G35" s="55"/>
      <c r="H35" s="55"/>
      <c r="I35" s="55"/>
      <c r="J35" s="55"/>
      <c r="K35" s="55"/>
      <c r="L35" s="55"/>
      <c r="M35" s="55"/>
      <c r="N35" s="55"/>
      <c r="O35" s="55"/>
      <c r="P35" s="55"/>
      <c r="Q35" s="55"/>
      <c r="R35" s="55"/>
      <c r="S35" s="55"/>
      <c r="T35" s="55"/>
      <c r="U35" s="55"/>
      <c r="V35" s="55"/>
      <c r="W35" s="55"/>
      <c r="X35" s="55"/>
      <c r="Y35" s="55"/>
      <c r="Z35" s="55"/>
    </row>
    <row r="36" ht="15.75" customHeight="1">
      <c r="A36" s="135"/>
      <c r="B36" s="135"/>
      <c r="C36" s="135"/>
      <c r="D36" s="55"/>
      <c r="E36" s="55"/>
      <c r="F36" s="55"/>
      <c r="G36" s="55"/>
      <c r="H36" s="55"/>
      <c r="I36" s="55"/>
      <c r="J36" s="55"/>
      <c r="K36" s="55"/>
      <c r="L36" s="55"/>
      <c r="M36" s="55"/>
      <c r="N36" s="55"/>
      <c r="O36" s="55"/>
      <c r="P36" s="55"/>
      <c r="Q36" s="55"/>
      <c r="R36" s="55"/>
      <c r="S36" s="55"/>
      <c r="T36" s="55"/>
      <c r="U36" s="55"/>
      <c r="V36" s="55"/>
      <c r="W36" s="55"/>
      <c r="X36" s="55"/>
      <c r="Y36" s="55"/>
      <c r="Z36" s="55"/>
    </row>
    <row r="37" ht="15.75" customHeight="1">
      <c r="A37" s="135"/>
      <c r="B37" s="135"/>
      <c r="C37" s="135"/>
      <c r="D37" s="55"/>
      <c r="E37" s="55"/>
      <c r="F37" s="55"/>
      <c r="G37" s="55"/>
      <c r="H37" s="55"/>
      <c r="I37" s="55"/>
      <c r="J37" s="55"/>
      <c r="K37" s="55"/>
      <c r="L37" s="55"/>
      <c r="M37" s="55"/>
      <c r="N37" s="55"/>
      <c r="O37" s="55"/>
      <c r="P37" s="55"/>
      <c r="Q37" s="55"/>
      <c r="R37" s="55"/>
      <c r="S37" s="55"/>
      <c r="T37" s="55"/>
      <c r="U37" s="55"/>
      <c r="V37" s="55"/>
      <c r="W37" s="55"/>
      <c r="X37" s="55"/>
      <c r="Y37" s="55"/>
      <c r="Z37" s="55"/>
    </row>
    <row r="38" ht="15.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5.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5.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5.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5.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5.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5.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5.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5.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5.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5.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5.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5.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5.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5.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5.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5.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5.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5.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5.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5.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5.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5.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3:D3"/>
    <mergeCell ref="B4:D4"/>
    <mergeCell ref="B6:I6"/>
    <mergeCell ref="A7:B7"/>
    <mergeCell ref="A8:B8"/>
    <mergeCell ref="A9:B9"/>
    <mergeCell ref="A11:G11"/>
    <mergeCell ref="F18:G18"/>
    <mergeCell ref="F19:G19"/>
    <mergeCell ref="F20:G20"/>
    <mergeCell ref="F21:G21"/>
    <mergeCell ref="G23:I23"/>
    <mergeCell ref="F24:H24"/>
    <mergeCell ref="F25:H25"/>
    <mergeCell ref="A10:B10"/>
    <mergeCell ref="A12:B12"/>
    <mergeCell ref="B15:D15"/>
    <mergeCell ref="G15:I15"/>
    <mergeCell ref="A16:B16"/>
    <mergeCell ref="F16:G16"/>
    <mergeCell ref="F17:G17"/>
    <mergeCell ref="A17:B17"/>
    <mergeCell ref="A18:B18"/>
    <mergeCell ref="A19:B19"/>
    <mergeCell ref="A20:B20"/>
    <mergeCell ref="A21:B21"/>
    <mergeCell ref="B23:C23"/>
    <mergeCell ref="A24:B24"/>
    <mergeCell ref="A31:B31"/>
    <mergeCell ref="A32:B32"/>
    <mergeCell ref="A33:B33"/>
    <mergeCell ref="A34:B34"/>
    <mergeCell ref="A35:B35"/>
    <mergeCell ref="A25:B25"/>
    <mergeCell ref="A26:B26"/>
    <mergeCell ref="A27:B27"/>
    <mergeCell ref="A28:B28"/>
    <mergeCell ref="D28:D30"/>
    <mergeCell ref="A29:B29"/>
    <mergeCell ref="A30:B30"/>
  </mergeCells>
  <conditionalFormatting sqref="C8:D9 F8 I10">
    <cfRule type="containsBlanks" dxfId="0" priority="1">
      <formula>LEN(TRIM(C8))=0</formula>
    </cfRule>
  </conditionalFormatting>
  <conditionalFormatting sqref="F8:H9 I8:I10">
    <cfRule type="containsBlanks" dxfId="0" priority="2">
      <formula>LEN(TRIM(F8))=0</formula>
    </cfRule>
  </conditionalFormatting>
  <conditionalFormatting sqref="C25:C34">
    <cfRule type="containsBlanks" dxfId="0" priority="3">
      <formula>LEN(TRIM(C25))=0</formula>
    </cfRule>
  </conditionalFormatting>
  <conditionalFormatting sqref="I24:I25">
    <cfRule type="containsBlanks" dxfId="0" priority="4">
      <formula>LEN(TRIM(I24))=0</formula>
    </cfRule>
  </conditionalFormatting>
  <conditionalFormatting sqref="D10">
    <cfRule type="containsBlanks" dxfId="0" priority="5">
      <formula>LEN(TRIM(D10))=0</formula>
    </cfRule>
  </conditionalFormatting>
  <conditionalFormatting sqref="F10">
    <cfRule type="containsBlanks" dxfId="0" priority="6">
      <formula>LEN(TRIM(F10))=0</formula>
    </cfRule>
  </conditionalFormatting>
  <dataValidations>
    <dataValidation type="list" allowBlank="1" showErrorMessage="1" sqref="D17">
      <formula1>Lists!$M$13:$M$23</formula1>
    </dataValidation>
    <dataValidation type="list" allowBlank="1" showErrorMessage="1" sqref="B4">
      <formula1>Lists!$N$4:$N$5</formula1>
    </dataValidation>
  </dataValidations>
  <printOptions/>
  <pageMargins bottom="0.75" footer="0.0" header="0.0" left="0.7" right="0.7" top="0.75"/>
  <pageSetup scale="96" orientation="portrait"/>
  <headerFooter>
    <oddFooter>&amp;LVersion 7&amp;RAugust 2023</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7.43"/>
    <col customWidth="1" min="3" max="3" width="8.0"/>
    <col customWidth="1" min="4" max="5" width="8.14"/>
    <col customWidth="1" min="6" max="18" width="8.71"/>
  </cols>
  <sheetData>
    <row r="2">
      <c r="A2" s="54" t="s">
        <v>128</v>
      </c>
      <c r="B2" s="57"/>
      <c r="C2" s="57"/>
      <c r="D2" s="57"/>
      <c r="E2" s="57"/>
      <c r="F2" s="57"/>
      <c r="G2" s="57"/>
      <c r="H2" s="57"/>
      <c r="I2" s="57"/>
      <c r="J2" s="57"/>
      <c r="K2" s="57"/>
      <c r="L2" s="57"/>
      <c r="M2" s="57"/>
      <c r="N2" s="57"/>
      <c r="O2" s="57"/>
      <c r="P2" s="57"/>
      <c r="Q2" s="57"/>
      <c r="R2" s="57"/>
    </row>
    <row r="3" ht="33.0" customHeight="1">
      <c r="A3" s="58"/>
      <c r="B3" s="50"/>
      <c r="C3" s="50"/>
      <c r="D3" s="50"/>
      <c r="E3" s="50"/>
      <c r="F3" s="50"/>
      <c r="G3" s="50"/>
      <c r="H3" s="50"/>
      <c r="I3" s="50"/>
      <c r="J3" s="50"/>
      <c r="K3" s="50"/>
      <c r="L3" s="50"/>
      <c r="M3" s="50"/>
      <c r="N3" s="50"/>
      <c r="O3" s="50"/>
      <c r="P3" s="50"/>
      <c r="Q3" s="50"/>
      <c r="R3" s="50"/>
    </row>
    <row r="4" ht="14.25" customHeight="1">
      <c r="A4" s="62" t="s">
        <v>137</v>
      </c>
      <c r="B4" s="66" t="s">
        <v>138</v>
      </c>
      <c r="C4" s="67"/>
      <c r="D4" s="67"/>
      <c r="E4" s="67"/>
      <c r="F4" s="67"/>
      <c r="G4" s="67"/>
      <c r="H4" s="67"/>
      <c r="I4" s="67"/>
      <c r="J4" s="67"/>
      <c r="K4" s="67"/>
      <c r="L4" s="67"/>
      <c r="M4" s="67"/>
      <c r="N4" s="67"/>
      <c r="O4" s="67"/>
      <c r="P4" s="67"/>
      <c r="Q4" s="67"/>
      <c r="R4" s="68"/>
    </row>
    <row r="5" ht="14.25" customHeight="1">
      <c r="A5" s="69" t="s">
        <v>141</v>
      </c>
      <c r="B5" s="67"/>
      <c r="C5" s="67"/>
      <c r="D5" s="67"/>
      <c r="E5" s="67"/>
      <c r="F5" s="67"/>
      <c r="G5" s="67"/>
      <c r="H5" s="67"/>
      <c r="I5" s="67"/>
      <c r="J5" s="67"/>
      <c r="K5" s="67"/>
      <c r="L5" s="67"/>
      <c r="M5" s="67"/>
      <c r="N5" s="67"/>
      <c r="O5" s="67"/>
      <c r="P5" s="67"/>
      <c r="Q5" s="67"/>
      <c r="R5" s="68"/>
    </row>
    <row r="6">
      <c r="A6" s="73"/>
      <c r="B6" s="68"/>
      <c r="C6" s="75" t="s">
        <v>151</v>
      </c>
      <c r="D6" s="67"/>
      <c r="E6" s="68"/>
      <c r="F6" s="75" t="s">
        <v>153</v>
      </c>
      <c r="G6" s="67"/>
      <c r="H6" s="68"/>
      <c r="I6" s="75" t="s">
        <v>155</v>
      </c>
      <c r="J6" s="67"/>
      <c r="K6" s="68"/>
      <c r="L6" s="75" t="s">
        <v>157</v>
      </c>
      <c r="M6" s="67"/>
      <c r="N6" s="68"/>
      <c r="O6" s="75" t="s">
        <v>159</v>
      </c>
      <c r="P6" s="67"/>
      <c r="Q6" s="68"/>
      <c r="R6" s="80" t="s">
        <v>160</v>
      </c>
    </row>
    <row r="7" ht="14.25" customHeight="1">
      <c r="A7" s="75" t="s">
        <v>162</v>
      </c>
      <c r="B7" s="67"/>
      <c r="C7" s="67"/>
      <c r="D7" s="67"/>
      <c r="E7" s="67"/>
      <c r="F7" s="67"/>
      <c r="G7" s="67"/>
      <c r="H7" s="67"/>
      <c r="I7" s="67"/>
      <c r="J7" s="67"/>
      <c r="K7" s="67"/>
      <c r="L7" s="67"/>
      <c r="M7" s="67"/>
      <c r="N7" s="67"/>
      <c r="O7" s="67"/>
      <c r="P7" s="67"/>
      <c r="Q7" s="67"/>
      <c r="R7" s="68"/>
    </row>
    <row r="8">
      <c r="A8" s="82"/>
      <c r="B8" s="83"/>
      <c r="C8" s="84" t="s">
        <v>165</v>
      </c>
      <c r="D8" s="84" t="s">
        <v>166</v>
      </c>
      <c r="E8" s="84" t="s">
        <v>168</v>
      </c>
      <c r="F8" s="84" t="s">
        <v>165</v>
      </c>
      <c r="G8" s="84" t="s">
        <v>166</v>
      </c>
      <c r="H8" s="84" t="s">
        <v>168</v>
      </c>
      <c r="I8" s="84" t="s">
        <v>165</v>
      </c>
      <c r="J8" s="84" t="s">
        <v>166</v>
      </c>
      <c r="K8" s="84" t="s">
        <v>168</v>
      </c>
      <c r="L8" s="84" t="s">
        <v>165</v>
      </c>
      <c r="M8" s="84" t="s">
        <v>166</v>
      </c>
      <c r="N8" s="84" t="s">
        <v>168</v>
      </c>
      <c r="O8" s="84" t="s">
        <v>165</v>
      </c>
      <c r="P8" s="84" t="s">
        <v>166</v>
      </c>
      <c r="Q8" s="90" t="s">
        <v>168</v>
      </c>
      <c r="R8" s="90"/>
    </row>
    <row r="9" ht="21.75" customHeight="1">
      <c r="A9" s="73" t="s">
        <v>174</v>
      </c>
      <c r="B9" s="68"/>
      <c r="C9" s="93">
        <v>29869.0</v>
      </c>
      <c r="D9" s="93">
        <v>0.0</v>
      </c>
      <c r="E9" s="93">
        <v>0.0</v>
      </c>
      <c r="F9" s="96"/>
      <c r="G9" s="96"/>
      <c r="H9" s="96"/>
      <c r="I9" s="96"/>
      <c r="J9" s="96"/>
      <c r="K9" s="96"/>
      <c r="L9" s="101"/>
      <c r="M9" s="101"/>
      <c r="N9" s="101"/>
      <c r="O9" s="107">
        <f t="shared" ref="O9:Q9" si="1">IF(C9="","",IF(F9=0,C9,AVERAGE(C9,F9,I9,L9)))</f>
        <v>29869</v>
      </c>
      <c r="P9" s="107">
        <f t="shared" si="1"/>
        <v>0</v>
      </c>
      <c r="Q9" s="107">
        <f t="shared" si="1"/>
        <v>0</v>
      </c>
      <c r="R9" s="112" t="s">
        <v>190</v>
      </c>
    </row>
    <row r="10" ht="21.75" customHeight="1">
      <c r="A10" s="73" t="s">
        <v>192</v>
      </c>
      <c r="B10" s="68"/>
      <c r="C10" s="93">
        <v>2889.0</v>
      </c>
      <c r="D10" s="93">
        <v>0.0</v>
      </c>
      <c r="E10" s="93">
        <v>0.0</v>
      </c>
      <c r="F10" s="96"/>
      <c r="G10" s="96"/>
      <c r="H10" s="96"/>
      <c r="I10" s="96"/>
      <c r="J10" s="96"/>
      <c r="K10" s="96"/>
      <c r="L10" s="101"/>
      <c r="M10" s="101"/>
      <c r="N10" s="101"/>
      <c r="O10" s="107">
        <f t="shared" ref="O10:Q10" si="2">IF(C10="","",IF(F10=0,C10,AVERAGE(C10,F10,I10,L10)))</f>
        <v>2889</v>
      </c>
      <c r="P10" s="107">
        <f t="shared" si="2"/>
        <v>0</v>
      </c>
      <c r="Q10" s="107">
        <f t="shared" si="2"/>
        <v>0</v>
      </c>
      <c r="R10" s="112" t="s">
        <v>190</v>
      </c>
    </row>
    <row r="11" ht="21.75" customHeight="1">
      <c r="A11" s="122" t="s">
        <v>199</v>
      </c>
      <c r="B11" s="68"/>
      <c r="C11" s="93">
        <v>0.0</v>
      </c>
      <c r="D11" s="93">
        <v>0.0</v>
      </c>
      <c r="E11" s="93">
        <v>0.0</v>
      </c>
      <c r="F11" s="96"/>
      <c r="G11" s="96"/>
      <c r="H11" s="96"/>
      <c r="I11" s="96"/>
      <c r="J11" s="96"/>
      <c r="K11" s="96"/>
      <c r="L11" s="101"/>
      <c r="M11" s="101"/>
      <c r="N11" s="101"/>
      <c r="O11" s="107">
        <f t="shared" ref="O11:Q11" si="3">IF(C11="","",IF(F11=0,C11,AVERAGE(C11,F11,I11,L11)))</f>
        <v>0</v>
      </c>
      <c r="P11" s="107">
        <f t="shared" si="3"/>
        <v>0</v>
      </c>
      <c r="Q11" s="107">
        <f t="shared" si="3"/>
        <v>0</v>
      </c>
      <c r="R11" s="112" t="s">
        <v>190</v>
      </c>
    </row>
    <row r="12" ht="21.75" customHeight="1">
      <c r="A12" s="73" t="s">
        <v>204</v>
      </c>
      <c r="B12" s="68"/>
      <c r="C12" s="93">
        <v>0.0</v>
      </c>
      <c r="D12" s="93">
        <v>3493.0</v>
      </c>
      <c r="E12" s="93">
        <v>0.0</v>
      </c>
      <c r="F12" s="96"/>
      <c r="G12" s="96"/>
      <c r="H12" s="96"/>
      <c r="I12" s="96"/>
      <c r="J12" s="96"/>
      <c r="K12" s="96"/>
      <c r="L12" s="101"/>
      <c r="M12" s="101"/>
      <c r="N12" s="101"/>
      <c r="O12" s="107">
        <f t="shared" ref="O12:Q12" si="4">IF(C12="","",IF(F12=0,C12,AVERAGE(C12,F12,I12,L12)))</f>
        <v>0</v>
      </c>
      <c r="P12" s="107">
        <f t="shared" si="4"/>
        <v>3493</v>
      </c>
      <c r="Q12" s="107">
        <f t="shared" si="4"/>
        <v>0</v>
      </c>
      <c r="R12" s="112" t="s">
        <v>190</v>
      </c>
    </row>
    <row r="13" ht="21.75" customHeight="1">
      <c r="A13" s="73" t="s">
        <v>212</v>
      </c>
      <c r="B13" s="68"/>
      <c r="C13" s="93">
        <v>20828.0</v>
      </c>
      <c r="D13" s="93">
        <v>0.0</v>
      </c>
      <c r="E13" s="93">
        <v>0.0</v>
      </c>
      <c r="F13" s="96"/>
      <c r="G13" s="96"/>
      <c r="H13" s="96"/>
      <c r="I13" s="96"/>
      <c r="J13" s="96"/>
      <c r="K13" s="96"/>
      <c r="L13" s="101"/>
      <c r="M13" s="101"/>
      <c r="N13" s="101"/>
      <c r="O13" s="107">
        <f t="shared" ref="O13:Q13" si="5">IF(C13="","",IF(F13=0,C13,AVERAGE(C13,F13,I13,L13)))</f>
        <v>20828</v>
      </c>
      <c r="P13" s="107">
        <f t="shared" si="5"/>
        <v>0</v>
      </c>
      <c r="Q13" s="107">
        <f t="shared" si="5"/>
        <v>0</v>
      </c>
      <c r="R13" s="112" t="s">
        <v>190</v>
      </c>
    </row>
    <row r="14" ht="21.75" customHeight="1">
      <c r="A14" s="73" t="s">
        <v>217</v>
      </c>
      <c r="B14" s="68"/>
      <c r="C14" s="93">
        <v>0.0</v>
      </c>
      <c r="D14" s="93">
        <v>0.0</v>
      </c>
      <c r="E14" s="93">
        <v>0.0</v>
      </c>
      <c r="F14" s="96"/>
      <c r="G14" s="96"/>
      <c r="H14" s="96"/>
      <c r="I14" s="96"/>
      <c r="J14" s="96"/>
      <c r="K14" s="96"/>
      <c r="L14" s="101"/>
      <c r="M14" s="101"/>
      <c r="N14" s="101"/>
      <c r="O14" s="107">
        <f t="shared" ref="O14:Q14" si="6">IF(C14="","",IF(F14=0,C14,AVERAGE(C14,F14,I14,L14)))</f>
        <v>0</v>
      </c>
      <c r="P14" s="107">
        <f t="shared" si="6"/>
        <v>0</v>
      </c>
      <c r="Q14" s="107">
        <f t="shared" si="6"/>
        <v>0</v>
      </c>
      <c r="R14" s="112" t="s">
        <v>190</v>
      </c>
    </row>
    <row r="15" ht="21.75" customHeight="1">
      <c r="A15" s="73" t="s">
        <v>225</v>
      </c>
      <c r="B15" s="68"/>
      <c r="C15" s="93">
        <v>5433.0</v>
      </c>
      <c r="D15" s="93">
        <v>0.0</v>
      </c>
      <c r="E15" s="93">
        <v>0.0</v>
      </c>
      <c r="F15" s="96"/>
      <c r="G15" s="96"/>
      <c r="H15" s="96"/>
      <c r="I15" s="96"/>
      <c r="J15" s="96"/>
      <c r="K15" s="96"/>
      <c r="L15" s="101"/>
      <c r="M15" s="101"/>
      <c r="N15" s="101"/>
      <c r="O15" s="107">
        <f t="shared" ref="O15:Q15" si="7">IF(C15="","",IF(F15=0,C15,AVERAGE(C15,F15,I15,L15)))</f>
        <v>5433</v>
      </c>
      <c r="P15" s="107">
        <f t="shared" si="7"/>
        <v>0</v>
      </c>
      <c r="Q15" s="107">
        <f t="shared" si="7"/>
        <v>0</v>
      </c>
      <c r="R15" s="112" t="s">
        <v>190</v>
      </c>
    </row>
    <row r="16" ht="21.75" customHeight="1">
      <c r="A16" s="73" t="s">
        <v>233</v>
      </c>
      <c r="B16" s="68"/>
      <c r="C16" s="93">
        <v>73953.0</v>
      </c>
      <c r="D16" s="93">
        <v>0.0</v>
      </c>
      <c r="E16" s="93">
        <v>0.0</v>
      </c>
      <c r="F16" s="96"/>
      <c r="G16" s="96"/>
      <c r="H16" s="96"/>
      <c r="I16" s="96"/>
      <c r="J16" s="96"/>
      <c r="K16" s="96"/>
      <c r="L16" s="101"/>
      <c r="M16" s="101"/>
      <c r="N16" s="101"/>
      <c r="O16" s="107">
        <f t="shared" ref="O16:Q16" si="8">IF(C16="","",IF(F16=0,C16,AVERAGE(C16,F16,I16,L16)))</f>
        <v>73953</v>
      </c>
      <c r="P16" s="107">
        <f t="shared" si="8"/>
        <v>0</v>
      </c>
      <c r="Q16" s="107">
        <f t="shared" si="8"/>
        <v>0</v>
      </c>
      <c r="R16" s="112" t="s">
        <v>190</v>
      </c>
    </row>
    <row r="17" ht="21.75" customHeight="1">
      <c r="A17" s="73" t="s">
        <v>237</v>
      </c>
      <c r="B17" s="68"/>
      <c r="C17" s="93">
        <v>75.0</v>
      </c>
      <c r="D17" s="93">
        <v>1384.0</v>
      </c>
      <c r="E17" s="93">
        <v>0.0</v>
      </c>
      <c r="F17" s="96"/>
      <c r="G17" s="96"/>
      <c r="H17" s="96"/>
      <c r="I17" s="96"/>
      <c r="J17" s="96"/>
      <c r="K17" s="96"/>
      <c r="L17" s="101"/>
      <c r="M17" s="101"/>
      <c r="N17" s="101"/>
      <c r="O17" s="107">
        <f t="shared" ref="O17:Q17" si="9">IF(C17="","",IF(F17=0,C17,AVERAGE(C17,F17,I17,L17)))</f>
        <v>75</v>
      </c>
      <c r="P17" s="107">
        <f t="shared" si="9"/>
        <v>1384</v>
      </c>
      <c r="Q17" s="107">
        <f t="shared" si="9"/>
        <v>0</v>
      </c>
      <c r="R17" s="112" t="s">
        <v>190</v>
      </c>
    </row>
    <row r="18" ht="21.75" customHeight="1">
      <c r="A18" s="73" t="s">
        <v>244</v>
      </c>
      <c r="B18" s="68"/>
      <c r="C18" s="93">
        <v>278.0</v>
      </c>
      <c r="D18" s="93">
        <v>0.0</v>
      </c>
      <c r="E18" s="93">
        <v>0.0</v>
      </c>
      <c r="F18" s="96"/>
      <c r="G18" s="96"/>
      <c r="H18" s="96"/>
      <c r="I18" s="96"/>
      <c r="J18" s="96"/>
      <c r="K18" s="96"/>
      <c r="L18" s="101"/>
      <c r="M18" s="101"/>
      <c r="N18" s="101"/>
      <c r="O18" s="107">
        <f t="shared" ref="O18:Q18" si="10">IF(C18="","",IF(F18=0,C18,AVERAGE(C18,F18,I18,L18)))</f>
        <v>278</v>
      </c>
      <c r="P18" s="107">
        <f t="shared" si="10"/>
        <v>0</v>
      </c>
      <c r="Q18" s="107">
        <f t="shared" si="10"/>
        <v>0</v>
      </c>
      <c r="R18" s="112" t="s">
        <v>190</v>
      </c>
    </row>
    <row r="19" ht="21.75" customHeight="1">
      <c r="A19" s="73" t="s">
        <v>247</v>
      </c>
      <c r="B19" s="68"/>
      <c r="C19" s="93">
        <v>0.0</v>
      </c>
      <c r="D19" s="93">
        <v>0.0</v>
      </c>
      <c r="E19" s="93">
        <v>0.0</v>
      </c>
      <c r="F19" s="96"/>
      <c r="G19" s="96"/>
      <c r="H19" s="96"/>
      <c r="I19" s="96"/>
      <c r="J19" s="96"/>
      <c r="K19" s="96"/>
      <c r="L19" s="101"/>
      <c r="M19" s="101"/>
      <c r="N19" s="101"/>
      <c r="O19" s="107">
        <f t="shared" ref="O19:Q19" si="11">IF(C19="","",IF(F19=0,C19,AVERAGE(C19,F19,I19,L19)))</f>
        <v>0</v>
      </c>
      <c r="P19" s="107">
        <f t="shared" si="11"/>
        <v>0</v>
      </c>
      <c r="Q19" s="107">
        <f t="shared" si="11"/>
        <v>0</v>
      </c>
      <c r="R19" s="112" t="s">
        <v>190</v>
      </c>
    </row>
    <row r="20">
      <c r="A20" s="75" t="s">
        <v>209</v>
      </c>
      <c r="B20" s="68"/>
      <c r="C20" s="107">
        <f t="shared" ref="C20:N20" si="12">IF(SUM(C9:C19)=0,"",SUM(C9:C19))</f>
        <v>133325</v>
      </c>
      <c r="D20" s="107">
        <f t="shared" si="12"/>
        <v>4877</v>
      </c>
      <c r="E20" s="107" t="str">
        <f t="shared" si="12"/>
        <v/>
      </c>
      <c r="F20" s="107" t="str">
        <f t="shared" si="12"/>
        <v/>
      </c>
      <c r="G20" s="107" t="str">
        <f t="shared" si="12"/>
        <v/>
      </c>
      <c r="H20" s="107" t="str">
        <f t="shared" si="12"/>
        <v/>
      </c>
      <c r="I20" s="107" t="str">
        <f t="shared" si="12"/>
        <v/>
      </c>
      <c r="J20" s="107" t="str">
        <f t="shared" si="12"/>
        <v/>
      </c>
      <c r="K20" s="107" t="str">
        <f t="shared" si="12"/>
        <v/>
      </c>
      <c r="L20" s="107" t="str">
        <f t="shared" si="12"/>
        <v/>
      </c>
      <c r="M20" s="107" t="str">
        <f t="shared" si="12"/>
        <v/>
      </c>
      <c r="N20" s="107" t="str">
        <f t="shared" si="12"/>
        <v/>
      </c>
      <c r="O20" s="107">
        <f t="shared" ref="O20:Q20" si="13">IF(C20="","",IF(F20=0,C20,AVERAGE(C20,F20,I20,L20)))</f>
        <v>133325</v>
      </c>
      <c r="P20" s="107">
        <f t="shared" si="13"/>
        <v>4877</v>
      </c>
      <c r="Q20" s="107" t="str">
        <f t="shared" si="13"/>
        <v/>
      </c>
      <c r="R20" s="112" t="s">
        <v>190</v>
      </c>
    </row>
    <row r="21" ht="15.75" customHeight="1">
      <c r="A21" s="75" t="s">
        <v>256</v>
      </c>
      <c r="B21" s="67"/>
      <c r="C21" s="67"/>
      <c r="D21" s="67"/>
      <c r="E21" s="67"/>
      <c r="F21" s="67"/>
      <c r="G21" s="67"/>
      <c r="H21" s="67"/>
      <c r="I21" s="67"/>
      <c r="J21" s="67"/>
      <c r="K21" s="67"/>
      <c r="L21" s="67"/>
      <c r="M21" s="67"/>
      <c r="N21" s="67"/>
      <c r="O21" s="67"/>
      <c r="P21" s="67"/>
      <c r="Q21" s="67"/>
      <c r="R21" s="68"/>
    </row>
    <row r="22" ht="15.75" customHeight="1">
      <c r="A22" s="82"/>
      <c r="B22" s="83"/>
      <c r="C22" s="83"/>
      <c r="D22" s="83"/>
      <c r="E22" s="83"/>
      <c r="F22" s="83"/>
      <c r="G22" s="83"/>
      <c r="H22" s="83"/>
      <c r="I22" s="83"/>
      <c r="J22" s="83"/>
      <c r="K22" s="83"/>
      <c r="L22" s="83"/>
      <c r="M22" s="83"/>
      <c r="N22" s="83"/>
      <c r="O22" s="83"/>
      <c r="P22" s="83"/>
      <c r="Q22" s="83"/>
      <c r="R22" s="90"/>
    </row>
    <row r="23" ht="15.75" customHeight="1">
      <c r="A23" s="75" t="s">
        <v>186</v>
      </c>
      <c r="B23" s="68"/>
      <c r="C23" s="164">
        <v>33332.0</v>
      </c>
      <c r="D23" s="67"/>
      <c r="E23" s="68"/>
      <c r="F23" s="164"/>
      <c r="G23" s="67"/>
      <c r="H23" s="68"/>
      <c r="I23" s="164"/>
      <c r="J23" s="67"/>
      <c r="K23" s="68"/>
      <c r="L23" s="164"/>
      <c r="M23" s="67"/>
      <c r="N23" s="68"/>
      <c r="O23" s="165">
        <f t="shared" ref="O23:O25" si="14">IF(C23="","",IF(F23="",C23,AVERAGE(C23:M23)))</f>
        <v>33332</v>
      </c>
      <c r="P23" s="67"/>
      <c r="Q23" s="68"/>
      <c r="R23" s="112" t="s">
        <v>190</v>
      </c>
    </row>
    <row r="24" ht="15.75" customHeight="1">
      <c r="A24" s="75" t="s">
        <v>197</v>
      </c>
      <c r="B24" s="68"/>
      <c r="C24" s="164">
        <v>7070.0</v>
      </c>
      <c r="D24" s="67"/>
      <c r="E24" s="68"/>
      <c r="F24" s="164"/>
      <c r="G24" s="67"/>
      <c r="H24" s="68"/>
      <c r="I24" s="164"/>
      <c r="J24" s="67"/>
      <c r="K24" s="68"/>
      <c r="L24" s="164"/>
      <c r="M24" s="67"/>
      <c r="N24" s="68"/>
      <c r="O24" s="165">
        <f t="shared" si="14"/>
        <v>7070</v>
      </c>
      <c r="P24" s="67"/>
      <c r="Q24" s="68"/>
      <c r="R24" s="112" t="s">
        <v>190</v>
      </c>
    </row>
    <row r="25" ht="15.75" customHeight="1">
      <c r="A25" s="75" t="s">
        <v>278</v>
      </c>
      <c r="B25" s="68"/>
      <c r="C25" s="164"/>
      <c r="D25" s="67"/>
      <c r="E25" s="68"/>
      <c r="F25" s="164"/>
      <c r="G25" s="67"/>
      <c r="H25" s="68"/>
      <c r="I25" s="164"/>
      <c r="J25" s="67"/>
      <c r="K25" s="68"/>
      <c r="L25" s="164"/>
      <c r="M25" s="67"/>
      <c r="N25" s="68"/>
      <c r="O25" s="165" t="str">
        <f t="shared" si="14"/>
        <v/>
      </c>
      <c r="P25" s="67"/>
      <c r="Q25" s="68"/>
      <c r="R25" s="112" t="s">
        <v>190</v>
      </c>
    </row>
    <row r="26" ht="15.75" customHeight="1">
      <c r="A26" s="66" t="s">
        <v>209</v>
      </c>
      <c r="B26" s="68"/>
      <c r="C26" s="165">
        <f>IF(C23="","",SUM(C23:D25))</f>
        <v>40402</v>
      </c>
      <c r="D26" s="67"/>
      <c r="E26" s="68"/>
      <c r="F26" s="165" t="str">
        <f>IF(F23="","",SUM(F23:G25))</f>
        <v/>
      </c>
      <c r="G26" s="67"/>
      <c r="H26" s="68"/>
      <c r="I26" s="165" t="str">
        <f>IF(I23="","",SUM(I23:J25))</f>
        <v/>
      </c>
      <c r="J26" s="67"/>
      <c r="K26" s="68"/>
      <c r="L26" s="165" t="str">
        <f>IF(L23="","",SUM(L23:M25))</f>
        <v/>
      </c>
      <c r="M26" s="67"/>
      <c r="N26" s="68"/>
      <c r="O26" s="165">
        <f>IF(O23="","",SUM(O23:P25))</f>
        <v>40402</v>
      </c>
      <c r="P26" s="67"/>
      <c r="Q26" s="68"/>
      <c r="R26" s="112" t="s">
        <v>190</v>
      </c>
    </row>
    <row r="27" ht="14.25" customHeight="1">
      <c r="A27" s="179"/>
      <c r="B27" s="179"/>
      <c r="C27" s="179"/>
      <c r="D27" s="179"/>
      <c r="E27" s="179"/>
      <c r="F27" s="179"/>
      <c r="G27" s="179"/>
      <c r="H27" s="179"/>
      <c r="I27" s="179"/>
      <c r="J27" s="179"/>
      <c r="K27" s="179"/>
      <c r="L27" s="179"/>
      <c r="M27" s="179"/>
      <c r="N27" s="179"/>
      <c r="O27" s="179"/>
      <c r="P27" s="179"/>
      <c r="Q27" s="179"/>
      <c r="R27" s="181"/>
    </row>
    <row r="28" ht="15.75" customHeight="1"/>
    <row r="29" ht="15.75" customHeight="1"/>
    <row r="30" ht="15.75" customHeight="1">
      <c r="A30" s="182"/>
      <c r="B30" s="45"/>
      <c r="C30" s="45"/>
      <c r="D30" s="45"/>
      <c r="E30" s="45"/>
      <c r="F30" s="45"/>
      <c r="G30" s="45"/>
      <c r="H30" s="45"/>
      <c r="I30" s="45"/>
      <c r="J30" s="45"/>
      <c r="K30" s="45"/>
      <c r="L30" s="45"/>
      <c r="M30" s="45"/>
      <c r="N30" s="45"/>
      <c r="O30" s="45"/>
      <c r="P30" s="45"/>
      <c r="Q30" s="45"/>
      <c r="R30" s="46"/>
    </row>
    <row r="31" ht="15.75" customHeight="1">
      <c r="A31" s="47"/>
      <c r="R31" s="48"/>
    </row>
    <row r="32" ht="15.75" customHeight="1">
      <c r="A32" s="47"/>
      <c r="R32" s="48"/>
    </row>
    <row r="33" ht="15.75" customHeight="1">
      <c r="A33" s="47"/>
      <c r="R33" s="48"/>
    </row>
    <row r="34" ht="15.75" customHeight="1">
      <c r="A34" s="47"/>
      <c r="R34" s="48"/>
    </row>
    <row r="35" ht="15.75" customHeight="1">
      <c r="A35" s="47"/>
      <c r="R35" s="48"/>
    </row>
    <row r="36" ht="15.75" customHeight="1">
      <c r="A36" s="47"/>
      <c r="R36" s="48"/>
    </row>
    <row r="37" ht="15.75" customHeight="1">
      <c r="A37" s="47"/>
      <c r="R37" s="48"/>
    </row>
    <row r="38" ht="15.75" customHeight="1">
      <c r="A38" s="47"/>
      <c r="R38" s="48"/>
    </row>
    <row r="39" ht="15.75" customHeight="1">
      <c r="A39" s="47"/>
      <c r="R39" s="48"/>
    </row>
    <row r="40" ht="15.75" customHeight="1">
      <c r="A40" s="47"/>
      <c r="R40" s="48"/>
    </row>
    <row r="41" ht="15.75" customHeight="1">
      <c r="A41" s="47"/>
      <c r="R41" s="48"/>
    </row>
    <row r="42" ht="15.75" customHeight="1">
      <c r="A42" s="47"/>
      <c r="R42" s="48"/>
    </row>
    <row r="43" ht="15.75" customHeight="1">
      <c r="A43" s="47"/>
      <c r="R43" s="48"/>
    </row>
    <row r="44" ht="15.75" customHeight="1">
      <c r="A44" s="47"/>
      <c r="R44" s="48"/>
    </row>
    <row r="45" ht="15.75" customHeight="1">
      <c r="A45" s="47"/>
      <c r="R45" s="48"/>
    </row>
    <row r="46" ht="15.75" customHeight="1">
      <c r="A46" s="47"/>
      <c r="R46" s="48"/>
    </row>
    <row r="47" ht="15.75" customHeight="1">
      <c r="A47" s="49"/>
      <c r="B47" s="50"/>
      <c r="C47" s="50"/>
      <c r="D47" s="50"/>
      <c r="E47" s="50"/>
      <c r="F47" s="50"/>
      <c r="G47" s="50"/>
      <c r="H47" s="50"/>
      <c r="I47" s="50"/>
      <c r="J47" s="50"/>
      <c r="K47" s="50"/>
      <c r="L47" s="50"/>
      <c r="M47" s="50"/>
      <c r="N47" s="50"/>
      <c r="O47" s="50"/>
      <c r="P47" s="50"/>
      <c r="Q47" s="50"/>
      <c r="R47" s="5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I26:K26"/>
    <mergeCell ref="L26:N26"/>
    <mergeCell ref="A25:B25"/>
    <mergeCell ref="C25:E25"/>
    <mergeCell ref="F25:H25"/>
    <mergeCell ref="I25:K25"/>
    <mergeCell ref="L25:N25"/>
    <mergeCell ref="O25:Q25"/>
    <mergeCell ref="A26:B26"/>
    <mergeCell ref="O26:Q26"/>
    <mergeCell ref="L6:N6"/>
    <mergeCell ref="O6:Q6"/>
    <mergeCell ref="A2:R3"/>
    <mergeCell ref="B4:R4"/>
    <mergeCell ref="A5:R5"/>
    <mergeCell ref="C6:E6"/>
    <mergeCell ref="F6:H6"/>
    <mergeCell ref="I6:K6"/>
    <mergeCell ref="A7:R7"/>
    <mergeCell ref="C23:E23"/>
    <mergeCell ref="F23:H23"/>
    <mergeCell ref="I23:K23"/>
    <mergeCell ref="L23:N23"/>
    <mergeCell ref="O23:Q23"/>
    <mergeCell ref="A15:B15"/>
    <mergeCell ref="A16:B16"/>
    <mergeCell ref="A17:B17"/>
    <mergeCell ref="A18:B18"/>
    <mergeCell ref="A19:B19"/>
    <mergeCell ref="A20:B20"/>
    <mergeCell ref="A21:R21"/>
    <mergeCell ref="A6:B6"/>
    <mergeCell ref="A9:B9"/>
    <mergeCell ref="A10:B10"/>
    <mergeCell ref="A11:B11"/>
    <mergeCell ref="A12:B12"/>
    <mergeCell ref="A13:B13"/>
    <mergeCell ref="A14:B14"/>
    <mergeCell ref="A23:B23"/>
    <mergeCell ref="A24:B24"/>
    <mergeCell ref="C24:E24"/>
    <mergeCell ref="F24:H24"/>
    <mergeCell ref="I24:K24"/>
    <mergeCell ref="L24:N24"/>
    <mergeCell ref="O24:Q24"/>
    <mergeCell ref="C26:E26"/>
    <mergeCell ref="F26:H26"/>
    <mergeCell ref="A30:R47"/>
  </mergeCells>
  <conditionalFormatting sqref="C9:E19">
    <cfRule type="containsBlanks" dxfId="0" priority="1">
      <formula>LEN(TRIM(C9))=0</formula>
    </cfRule>
  </conditionalFormatting>
  <conditionalFormatting sqref="C23:C24">
    <cfRule type="containsBlanks" dxfId="0" priority="2">
      <formula>LEN(TRIM(C23))=0</formula>
    </cfRule>
  </conditionalFormatting>
  <conditionalFormatting sqref="R9:R20 R23:R26">
    <cfRule type="containsBlanks" dxfId="0" priority="3">
      <formula>LEN(TRIM(R9))=0</formula>
    </cfRule>
  </conditionalFormatting>
  <conditionalFormatting sqref="R23:R26">
    <cfRule type="containsBlanks" dxfId="0" priority="4">
      <formula>LEN(TRIM(R23))=0</formula>
    </cfRule>
  </conditionalFormatting>
  <printOptions/>
  <pageMargins bottom="0.75" footer="0.0" header="0.0" left="0.31666666666666665" right="0.7" top="0.75"/>
  <pageSetup scale="63" orientation="portrait"/>
  <headerFooter>
    <oddFooter>&amp;LVersion 7&amp;RAugust 2023</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9.43"/>
    <col customWidth="1" min="3" max="6" width="8.57"/>
    <col customWidth="1" min="7" max="7" width="10.86"/>
    <col customWidth="1" min="8" max="8" width="9.86"/>
    <col customWidth="1" min="9" max="11" width="8.57"/>
    <col customWidth="1" min="12" max="12" width="8.14"/>
    <col customWidth="1" min="13" max="26" width="8.71"/>
  </cols>
  <sheetData>
    <row r="1">
      <c r="A1" s="55"/>
      <c r="B1" s="55"/>
      <c r="C1" s="55"/>
      <c r="D1" s="55"/>
      <c r="E1" s="55"/>
      <c r="F1" s="55"/>
      <c r="G1" s="55"/>
      <c r="H1" s="55"/>
      <c r="I1" s="55"/>
      <c r="J1" s="55"/>
      <c r="K1" s="55"/>
      <c r="L1" s="55"/>
      <c r="M1" s="55"/>
      <c r="N1" s="55"/>
      <c r="O1" s="55"/>
      <c r="P1" s="55"/>
      <c r="Q1" s="55"/>
      <c r="R1" s="55"/>
      <c r="S1" s="55"/>
      <c r="T1" s="55"/>
      <c r="U1" s="55"/>
      <c r="V1" s="55"/>
      <c r="W1" s="55"/>
      <c r="X1" s="55"/>
      <c r="Y1" s="55"/>
      <c r="Z1" s="55"/>
    </row>
    <row r="2" ht="15.75" customHeight="1">
      <c r="A2" s="62" t="s">
        <v>262</v>
      </c>
      <c r="B2" s="69" t="s">
        <v>263</v>
      </c>
      <c r="C2" s="67"/>
      <c r="D2" s="67"/>
      <c r="E2" s="67"/>
      <c r="F2" s="67"/>
      <c r="G2" s="67"/>
      <c r="H2" s="67"/>
      <c r="I2" s="67"/>
      <c r="J2" s="67"/>
      <c r="K2" s="67"/>
      <c r="L2" s="67"/>
      <c r="M2" s="68"/>
      <c r="N2" s="55"/>
      <c r="O2" s="55"/>
      <c r="P2" s="55"/>
      <c r="Q2" s="55"/>
      <c r="R2" s="55"/>
      <c r="S2" s="55"/>
      <c r="T2" s="55"/>
      <c r="U2" s="55"/>
      <c r="V2" s="55"/>
      <c r="W2" s="55"/>
      <c r="X2" s="55"/>
      <c r="Y2" s="55"/>
      <c r="Z2" s="55"/>
    </row>
    <row r="3" ht="15.75" customHeight="1">
      <c r="A3" s="69" t="str">
        <f>CONCATENATE("Compliance based on ",IF(Path="","",Path))</f>
        <v>Compliance based on Appendix G PRM</v>
      </c>
      <c r="B3" s="67"/>
      <c r="C3" s="67"/>
      <c r="D3" s="67"/>
      <c r="E3" s="67"/>
      <c r="F3" s="67"/>
      <c r="G3" s="67"/>
      <c r="H3" s="67"/>
      <c r="I3" s="67"/>
      <c r="J3" s="67"/>
      <c r="K3" s="67"/>
      <c r="L3" s="67"/>
      <c r="M3" s="68"/>
      <c r="N3" s="55"/>
      <c r="O3" s="55"/>
      <c r="P3" s="55"/>
      <c r="Q3" s="55"/>
      <c r="R3" s="55"/>
      <c r="S3" s="55"/>
      <c r="T3" s="55"/>
      <c r="U3" s="55"/>
      <c r="V3" s="55"/>
      <c r="W3" s="55"/>
      <c r="X3" s="55"/>
      <c r="Y3" s="55"/>
      <c r="Z3" s="55"/>
    </row>
    <row r="4" ht="22.5" customHeight="1">
      <c r="A4" s="66"/>
      <c r="B4" s="68"/>
      <c r="C4" s="69" t="s">
        <v>141</v>
      </c>
      <c r="D4" s="67"/>
      <c r="E4" s="67"/>
      <c r="F4" s="68"/>
      <c r="G4" s="69" t="s">
        <v>267</v>
      </c>
      <c r="H4" s="67"/>
      <c r="I4" s="67"/>
      <c r="J4" s="68"/>
      <c r="K4" s="69"/>
      <c r="L4" s="67"/>
      <c r="M4" s="68"/>
      <c r="N4" s="105"/>
      <c r="O4" s="105"/>
      <c r="P4" s="105"/>
      <c r="Q4" s="105"/>
      <c r="R4" s="105"/>
      <c r="S4" s="105"/>
      <c r="T4" s="105"/>
      <c r="U4" s="105"/>
      <c r="V4" s="105"/>
      <c r="W4" s="105"/>
      <c r="X4" s="105"/>
      <c r="Y4" s="105"/>
      <c r="Z4" s="105"/>
    </row>
    <row r="5" ht="54.75" customHeight="1">
      <c r="A5" s="73"/>
      <c r="B5" s="68"/>
      <c r="C5" s="80" t="s">
        <v>270</v>
      </c>
      <c r="D5" s="80" t="s">
        <v>271</v>
      </c>
      <c r="E5" s="80" t="s">
        <v>272</v>
      </c>
      <c r="F5" s="80" t="s">
        <v>273</v>
      </c>
      <c r="G5" s="80" t="s">
        <v>270</v>
      </c>
      <c r="H5" s="80" t="s">
        <v>271</v>
      </c>
      <c r="I5" s="80" t="s">
        <v>272</v>
      </c>
      <c r="J5" s="80" t="s">
        <v>273</v>
      </c>
      <c r="K5" s="80" t="s">
        <v>276</v>
      </c>
      <c r="L5" s="80" t="s">
        <v>277</v>
      </c>
      <c r="M5" s="80" t="s">
        <v>160</v>
      </c>
      <c r="N5" s="105"/>
      <c r="O5" s="105"/>
      <c r="P5" s="105"/>
      <c r="Q5" s="105"/>
      <c r="R5" s="105"/>
      <c r="S5" s="105"/>
      <c r="T5" s="105"/>
      <c r="U5" s="105"/>
      <c r="V5" s="105"/>
      <c r="W5" s="105"/>
      <c r="X5" s="105"/>
      <c r="Y5" s="105"/>
      <c r="Z5" s="105"/>
    </row>
    <row r="6" ht="21.75" customHeight="1">
      <c r="A6" s="73" t="s">
        <v>174</v>
      </c>
      <c r="B6" s="68"/>
      <c r="C6" s="107">
        <f>IF('5a. Baseline Rotations'!O9="","",'5a. Baseline Rotations'!O9)</f>
        <v>29869</v>
      </c>
      <c r="D6" s="107">
        <f>IF('5a. Baseline Rotations'!P9="","",'5a. Baseline Rotations'!P9)</f>
        <v>0</v>
      </c>
      <c r="E6" s="107">
        <f>IF('5a. Baseline Rotations'!Q9="","",'5a. Baseline Rotations'!Q9)</f>
        <v>0</v>
      </c>
      <c r="F6" s="178">
        <f t="shared" ref="F6:F16" si="1">IF(C6="","",(C6*3.412+D6*100+E6)/($C$17*3.412+$D$17*100+$E$17))</f>
        <v>0.1081185001</v>
      </c>
      <c r="G6" s="93">
        <v>3408.0</v>
      </c>
      <c r="H6" s="93">
        <v>0.0</v>
      </c>
      <c r="I6" s="93">
        <v>0.0</v>
      </c>
      <c r="J6" s="178">
        <f t="shared" ref="J6:J16" si="2">IF(G6="","",(G6*3.412+H6*100+I6)/($G$17*3.412+$H$17*100+$I$17))</f>
        <v>0.0333382245</v>
      </c>
      <c r="K6" s="178">
        <f t="shared" ref="K6:K16" si="3">IF(AND(C6="",D6=""),"",((C6-G6)*3.412+(D6-H6)*100+(E6-I6))/(($C$17-$G$17)*3.412+($D$17-$H$17)*100+($E$17-$I$17)))</f>
        <v>0.1520426491</v>
      </c>
      <c r="L6" s="178">
        <f>IF(AND(C6="",D6=""),"",(($C6-$G6)*'4. Compliance'!$F$8+($D6-$H6)*'4. Compliance'!$F$9+($E6-$I6)*'4. Compliance'!$F$10)/(($C$17-$G$17)*'4. Compliance'!$F$8+($D$17-$H$17)*'4. Compliance'!$F$9+($E$17-$I$17)*'4. Compliance'!$F$10))</f>
        <v>0.8508360129</v>
      </c>
      <c r="M6" s="112" t="s">
        <v>195</v>
      </c>
      <c r="N6" s="105"/>
      <c r="O6" s="105"/>
      <c r="P6" s="105"/>
      <c r="Q6" s="105"/>
      <c r="R6" s="105"/>
      <c r="S6" s="105"/>
      <c r="T6" s="105"/>
      <c r="U6" s="105"/>
      <c r="V6" s="105"/>
      <c r="W6" s="105"/>
      <c r="X6" s="105"/>
      <c r="Y6" s="105"/>
      <c r="Z6" s="105"/>
    </row>
    <row r="7" ht="21.75" customHeight="1">
      <c r="A7" s="73" t="s">
        <v>192</v>
      </c>
      <c r="B7" s="68"/>
      <c r="C7" s="107">
        <f>IF('5a. Baseline Rotations'!O10="","",'5a. Baseline Rotations'!O10)</f>
        <v>2889</v>
      </c>
      <c r="D7" s="107">
        <f>IF('5a. Baseline Rotations'!P10="","",'5a. Baseline Rotations'!P10)</f>
        <v>0</v>
      </c>
      <c r="E7" s="107">
        <f>IF('5a. Baseline Rotations'!Q10="","",'5a. Baseline Rotations'!Q10)</f>
        <v>0</v>
      </c>
      <c r="F7" s="178">
        <f t="shared" si="1"/>
        <v>0.01045747587</v>
      </c>
      <c r="G7" s="93">
        <v>2889.0</v>
      </c>
      <c r="H7" s="93">
        <v>0.0</v>
      </c>
      <c r="I7" s="93">
        <v>0.0</v>
      </c>
      <c r="J7" s="178">
        <f t="shared" si="2"/>
        <v>0.02826118855</v>
      </c>
      <c r="K7" s="178">
        <f t="shared" si="3"/>
        <v>0</v>
      </c>
      <c r="L7" s="178">
        <f>IF(AND(C7="",D7=""),"",(($C7-$G7)*'4. Compliance'!$F$8+($D7-$H7)*'4. Compliance'!$F$9+($E7-$I7)*'4. Compliance'!$F$10)/(($C$17-$G$17)*'4. Compliance'!$F$8+($D$17-$H$17)*'4. Compliance'!$F$9+($E$17-$I$17)*'4. Compliance'!$F$10))</f>
        <v>0</v>
      </c>
      <c r="M7" s="112" t="s">
        <v>195</v>
      </c>
      <c r="N7" s="105"/>
      <c r="O7" s="105"/>
      <c r="P7" s="105"/>
      <c r="Q7" s="105"/>
      <c r="R7" s="105"/>
      <c r="S7" s="105"/>
      <c r="T7" s="105"/>
      <c r="U7" s="105"/>
      <c r="V7" s="105"/>
      <c r="W7" s="105"/>
      <c r="X7" s="105"/>
      <c r="Y7" s="105"/>
      <c r="Z7" s="105"/>
    </row>
    <row r="8" ht="21.75" customHeight="1">
      <c r="A8" s="122" t="s">
        <v>199</v>
      </c>
      <c r="B8" s="68"/>
      <c r="C8" s="107">
        <f>IF('5a. Baseline Rotations'!O11="","",'5a. Baseline Rotations'!O11)</f>
        <v>0</v>
      </c>
      <c r="D8" s="107">
        <f>IF('5a. Baseline Rotations'!P11="","",'5a. Baseline Rotations'!P11)</f>
        <v>0</v>
      </c>
      <c r="E8" s="107">
        <f>IF('5a. Baseline Rotations'!Q11="","",'5a. Baseline Rotations'!Q11)</f>
        <v>0</v>
      </c>
      <c r="F8" s="178">
        <f t="shared" si="1"/>
        <v>0</v>
      </c>
      <c r="G8" s="93">
        <v>0.0</v>
      </c>
      <c r="H8" s="93">
        <v>0.0</v>
      </c>
      <c r="I8" s="93">
        <v>0.0</v>
      </c>
      <c r="J8" s="178">
        <f t="shared" si="2"/>
        <v>0</v>
      </c>
      <c r="K8" s="178">
        <f t="shared" si="3"/>
        <v>0</v>
      </c>
      <c r="L8" s="178">
        <f>IF(AND(C8="",D8=""),"",(($C8-$G8)*'4. Compliance'!$F$8+($D8-$H8)*'4. Compliance'!$F$9+($E8-$I8)*'4. Compliance'!$F$10)/(($C$17-$G$17)*'4. Compliance'!$F$8+($D$17-$H$17)*'4. Compliance'!$F$9+($E$17-$I$17)*'4. Compliance'!$F$10))</f>
        <v>0</v>
      </c>
      <c r="M8" s="112" t="s">
        <v>195</v>
      </c>
      <c r="N8" s="105"/>
      <c r="O8" s="105"/>
      <c r="P8" s="105"/>
      <c r="Q8" s="105"/>
      <c r="R8" s="105"/>
      <c r="S8" s="105"/>
      <c r="T8" s="105"/>
      <c r="U8" s="105"/>
      <c r="V8" s="105"/>
      <c r="W8" s="105"/>
      <c r="X8" s="105"/>
      <c r="Y8" s="105"/>
      <c r="Z8" s="105"/>
    </row>
    <row r="9" ht="21.75" customHeight="1">
      <c r="A9" s="73" t="s">
        <v>204</v>
      </c>
      <c r="B9" s="68"/>
      <c r="C9" s="107">
        <f>IF('5a. Baseline Rotations'!O12="","",'5a. Baseline Rotations'!O12)</f>
        <v>0</v>
      </c>
      <c r="D9" s="107">
        <f>IF('5a. Baseline Rotations'!P12="","",'5a. Baseline Rotations'!P12)</f>
        <v>3493</v>
      </c>
      <c r="E9" s="107">
        <f>IF('5a. Baseline Rotations'!Q12="","",'5a. Baseline Rotations'!Q12)</f>
        <v>0</v>
      </c>
      <c r="F9" s="178">
        <f t="shared" si="1"/>
        <v>0.3705688354</v>
      </c>
      <c r="G9" s="93">
        <v>25217.0</v>
      </c>
      <c r="H9" s="93">
        <v>0.0</v>
      </c>
      <c r="I9" s="93">
        <v>0.0</v>
      </c>
      <c r="J9" s="178">
        <f t="shared" si="2"/>
        <v>0.2466813402</v>
      </c>
      <c r="K9" s="178">
        <f t="shared" si="3"/>
        <v>0.443337393</v>
      </c>
      <c r="L9" s="178">
        <f>IF(AND(C9="",D9=""),"",(($C9-$G9)*'4. Compliance'!$F$8+($D9-$H9)*'4. Compliance'!$F$9+($E9-$I9)*'4. Compliance'!$F$10)/(($C$17-$G$17)*'4. Compliance'!$F$8+($D$17-$H$17)*'4. Compliance'!$F$9+($E$17-$I$17)*'4. Compliance'!$F$10))</f>
        <v>-0.8108360129</v>
      </c>
      <c r="M9" s="112" t="s">
        <v>195</v>
      </c>
      <c r="N9" s="105"/>
      <c r="O9" s="105"/>
      <c r="P9" s="105"/>
      <c r="Q9" s="105"/>
      <c r="R9" s="105"/>
      <c r="S9" s="105"/>
      <c r="T9" s="105"/>
      <c r="U9" s="105"/>
      <c r="V9" s="105"/>
      <c r="W9" s="105"/>
      <c r="X9" s="105"/>
      <c r="Y9" s="105"/>
      <c r="Z9" s="105"/>
    </row>
    <row r="10" ht="21.75" customHeight="1">
      <c r="A10" s="73" t="s">
        <v>212</v>
      </c>
      <c r="B10" s="68"/>
      <c r="C10" s="107">
        <f>IF('5a. Baseline Rotations'!O13="","",'5a. Baseline Rotations'!O13)</f>
        <v>20828</v>
      </c>
      <c r="D10" s="107">
        <f>IF('5a. Baseline Rotations'!P13="","",'5a. Baseline Rotations'!P13)</f>
        <v>0</v>
      </c>
      <c r="E10" s="107">
        <f>IF('5a. Baseline Rotations'!Q13="","",'5a. Baseline Rotations'!Q13)</f>
        <v>0</v>
      </c>
      <c r="F10" s="178">
        <f t="shared" si="1"/>
        <v>0.07539228366</v>
      </c>
      <c r="G10" s="93">
        <v>6767.0</v>
      </c>
      <c r="H10" s="93">
        <v>0.0</v>
      </c>
      <c r="I10" s="93">
        <v>0.0</v>
      </c>
      <c r="J10" s="178">
        <f t="shared" si="2"/>
        <v>0.06619711421</v>
      </c>
      <c r="K10" s="178">
        <f t="shared" si="3"/>
        <v>0.08079330672</v>
      </c>
      <c r="L10" s="178">
        <f>IF(AND(C10="",D10=""),"",(($C10-$G10)*'4. Compliance'!$F$8+($D10-$H10)*'4. Compliance'!$F$9+($E10-$I10)*'4. Compliance'!$F$10)/(($C$17-$G$17)*'4. Compliance'!$F$8+($D$17-$H$17)*'4. Compliance'!$F$9+($E$17-$I$17)*'4. Compliance'!$F$10))</f>
        <v>0.4521221865</v>
      </c>
      <c r="M10" s="112" t="s">
        <v>195</v>
      </c>
      <c r="N10" s="105"/>
      <c r="O10" s="105"/>
      <c r="P10" s="105"/>
      <c r="Q10" s="105"/>
      <c r="R10" s="105"/>
      <c r="S10" s="105"/>
      <c r="T10" s="105"/>
      <c r="U10" s="105"/>
      <c r="V10" s="105"/>
      <c r="W10" s="105"/>
      <c r="X10" s="105"/>
      <c r="Y10" s="105"/>
      <c r="Z10" s="105"/>
    </row>
    <row r="11" ht="21.75" customHeight="1">
      <c r="A11" s="73" t="s">
        <v>217</v>
      </c>
      <c r="B11" s="68"/>
      <c r="C11" s="107">
        <f>IF('5a. Baseline Rotations'!O14="","",'5a. Baseline Rotations'!O14)</f>
        <v>0</v>
      </c>
      <c r="D11" s="107">
        <f>IF('5a. Baseline Rotations'!P14="","",'5a. Baseline Rotations'!P14)</f>
        <v>0</v>
      </c>
      <c r="E11" s="107">
        <f>IF('5a. Baseline Rotations'!Q14="","",'5a. Baseline Rotations'!Q14)</f>
        <v>0</v>
      </c>
      <c r="F11" s="178">
        <f t="shared" si="1"/>
        <v>0</v>
      </c>
      <c r="G11" s="93">
        <v>0.0</v>
      </c>
      <c r="H11" s="93">
        <v>0.0</v>
      </c>
      <c r="I11" s="93">
        <v>0.0</v>
      </c>
      <c r="J11" s="178">
        <f t="shared" si="2"/>
        <v>0</v>
      </c>
      <c r="K11" s="178">
        <f t="shared" si="3"/>
        <v>0</v>
      </c>
      <c r="L11" s="178">
        <f>IF(AND(C11="",D11=""),"",(($C11-$G11)*'4. Compliance'!$F$8+($D11-$H11)*'4. Compliance'!$F$9+($E11-$I11)*'4. Compliance'!$F$10)/(($C$17-$G$17)*'4. Compliance'!$F$8+($D$17-$H$17)*'4. Compliance'!$F$9+($E$17-$I$17)*'4. Compliance'!$F$10))</f>
        <v>0</v>
      </c>
      <c r="M11" s="112" t="s">
        <v>195</v>
      </c>
      <c r="N11" s="55"/>
      <c r="O11" s="55"/>
      <c r="P11" s="55"/>
      <c r="Q11" s="55"/>
      <c r="R11" s="55"/>
      <c r="S11" s="55"/>
      <c r="T11" s="55"/>
      <c r="U11" s="55"/>
      <c r="V11" s="55"/>
      <c r="W11" s="55"/>
      <c r="X11" s="55"/>
      <c r="Y11" s="55"/>
      <c r="Z11" s="55"/>
    </row>
    <row r="12" ht="21.75" customHeight="1">
      <c r="A12" s="73" t="s">
        <v>225</v>
      </c>
      <c r="B12" s="68"/>
      <c r="C12" s="107">
        <f>IF('5a. Baseline Rotations'!O15="","",'5a. Baseline Rotations'!O15)</f>
        <v>5433</v>
      </c>
      <c r="D12" s="107">
        <f>IF('5a. Baseline Rotations'!P15="","",'5a. Baseline Rotations'!P15)</f>
        <v>0</v>
      </c>
      <c r="E12" s="107">
        <f>IF('5a. Baseline Rotations'!Q15="","",'5a. Baseline Rotations'!Q15)</f>
        <v>0</v>
      </c>
      <c r="F12" s="178">
        <f t="shared" si="1"/>
        <v>0.01966613583</v>
      </c>
      <c r="G12" s="93">
        <v>5319.0</v>
      </c>
      <c r="H12" s="93">
        <v>0.0</v>
      </c>
      <c r="I12" s="93">
        <v>0.0</v>
      </c>
      <c r="J12" s="178">
        <f t="shared" si="2"/>
        <v>0.05203228173</v>
      </c>
      <c r="K12" s="178">
        <f t="shared" si="3"/>
        <v>0.0006550342768</v>
      </c>
      <c r="L12" s="178">
        <f>IF(AND(C12="",D12=""),"",(($C12-$G12)*'4. Compliance'!$F$8+($D12-$H12)*'4. Compliance'!$F$9+($E12-$I12)*'4. Compliance'!$F$10)/(($C$17-$G$17)*'4. Compliance'!$F$8+($D$17-$H$17)*'4. Compliance'!$F$9+($E$17-$I$17)*'4. Compliance'!$F$10))</f>
        <v>0.003665594855</v>
      </c>
      <c r="M12" s="112" t="s">
        <v>195</v>
      </c>
      <c r="N12" s="55"/>
      <c r="O12" s="55"/>
      <c r="P12" s="55"/>
      <c r="Q12" s="55"/>
      <c r="R12" s="55"/>
      <c r="S12" s="55"/>
      <c r="T12" s="55"/>
      <c r="U12" s="55"/>
      <c r="V12" s="55"/>
      <c r="W12" s="55"/>
      <c r="X12" s="55"/>
      <c r="Y12" s="55"/>
      <c r="Z12" s="55"/>
    </row>
    <row r="13" ht="22.5" customHeight="1">
      <c r="A13" s="73" t="s">
        <v>233</v>
      </c>
      <c r="B13" s="68"/>
      <c r="C13" s="107">
        <f>IF('5a. Baseline Rotations'!O16="","",'5a. Baseline Rotations'!O16)</f>
        <v>73953</v>
      </c>
      <c r="D13" s="107">
        <f>IF('5a. Baseline Rotations'!P16="","",'5a. Baseline Rotations'!P16)</f>
        <v>0</v>
      </c>
      <c r="E13" s="107">
        <f>IF('5a. Baseline Rotations'!Q16="","",'5a. Baseline Rotations'!Q16)</f>
        <v>0</v>
      </c>
      <c r="F13" s="178">
        <f t="shared" si="1"/>
        <v>0.2676918357</v>
      </c>
      <c r="G13" s="93">
        <v>17675.0</v>
      </c>
      <c r="H13" s="93">
        <v>0.0</v>
      </c>
      <c r="I13" s="93">
        <v>0.0</v>
      </c>
      <c r="J13" s="178">
        <f t="shared" si="2"/>
        <v>0.1729029102</v>
      </c>
      <c r="K13" s="178">
        <f t="shared" si="3"/>
        <v>0.323368588</v>
      </c>
      <c r="L13" s="178">
        <f>IF(AND(C13="",D13=""),"",(($C13-$G13)*'4. Compliance'!$F$8+($D13-$H13)*'4. Compliance'!$F$9+($E13-$I13)*'4. Compliance'!$F$10)/(($C$17-$G$17)*'4. Compliance'!$F$8+($D$17-$H$17)*'4. Compliance'!$F$9+($E$17-$I$17)*'4. Compliance'!$F$10))</f>
        <v>1.809581994</v>
      </c>
      <c r="M13" s="112" t="s">
        <v>195</v>
      </c>
      <c r="N13" s="55"/>
      <c r="O13" s="55"/>
      <c r="P13" s="55"/>
      <c r="Q13" s="55"/>
      <c r="R13" s="55"/>
      <c r="S13" s="55"/>
      <c r="T13" s="55"/>
      <c r="U13" s="55"/>
      <c r="V13" s="55"/>
      <c r="W13" s="55"/>
      <c r="X13" s="55"/>
      <c r="Y13" s="55"/>
      <c r="Z13" s="55"/>
    </row>
    <row r="14" ht="21.75" customHeight="1">
      <c r="A14" s="73" t="s">
        <v>237</v>
      </c>
      <c r="B14" s="68"/>
      <c r="C14" s="107">
        <f>IF('5a. Baseline Rotations'!O17="","",'5a. Baseline Rotations'!O17)</f>
        <v>75</v>
      </c>
      <c r="D14" s="107">
        <f>IF('5a. Baseline Rotations'!P17="","",'5a. Baseline Rotations'!P17)</f>
        <v>1384</v>
      </c>
      <c r="E14" s="107">
        <f>IF('5a. Baseline Rotations'!Q17="","",'5a. Baseline Rotations'!Q17)</f>
        <v>0</v>
      </c>
      <c r="F14" s="178">
        <f t="shared" si="1"/>
        <v>0.1470986412</v>
      </c>
      <c r="G14" s="93">
        <v>40669.0</v>
      </c>
      <c r="H14" s="93">
        <v>0.0</v>
      </c>
      <c r="I14" s="93">
        <v>0.0</v>
      </c>
      <c r="J14" s="178">
        <f t="shared" si="2"/>
        <v>0.3978381022</v>
      </c>
      <c r="K14" s="178">
        <f t="shared" si="3"/>
        <v>-0.0001797332899</v>
      </c>
      <c r="L14" s="178">
        <f>IF(AND(C14="",D14=""),"",(($C14-$G14)*'4. Compliance'!$F$8+($D14-$H14)*'4. Compliance'!$F$9+($E14-$I14)*'4. Compliance'!$F$10)/(($C$17-$G$17)*'4. Compliance'!$F$8+($D$17-$H$17)*'4. Compliance'!$F$9+($E$17-$I$17)*'4. Compliance'!$F$10))</f>
        <v>-1.305273312</v>
      </c>
      <c r="M14" s="112" t="s">
        <v>195</v>
      </c>
      <c r="N14" s="55"/>
      <c r="O14" s="55"/>
      <c r="P14" s="55"/>
      <c r="Q14" s="55"/>
      <c r="R14" s="55"/>
      <c r="S14" s="55"/>
      <c r="T14" s="55"/>
      <c r="U14" s="55"/>
      <c r="V14" s="55"/>
      <c r="W14" s="55"/>
      <c r="X14" s="55"/>
      <c r="Y14" s="55"/>
      <c r="Z14" s="55"/>
    </row>
    <row r="15" ht="21.75" customHeight="1">
      <c r="A15" s="73" t="s">
        <v>244</v>
      </c>
      <c r="B15" s="68"/>
      <c r="C15" s="107">
        <f>IF('5a. Baseline Rotations'!O18="","",'5a. Baseline Rotations'!O18)</f>
        <v>278</v>
      </c>
      <c r="D15" s="107">
        <f>IF('5a. Baseline Rotations'!P18="","",'5a. Baseline Rotations'!P18)</f>
        <v>0</v>
      </c>
      <c r="E15" s="107">
        <f>IF('5a. Baseline Rotations'!Q18="","",'5a. Baseline Rotations'!Q18)</f>
        <v>0</v>
      </c>
      <c r="F15" s="178">
        <f t="shared" si="1"/>
        <v>0.001006292244</v>
      </c>
      <c r="G15" s="93">
        <v>281.0</v>
      </c>
      <c r="H15" s="93">
        <v>0.0</v>
      </c>
      <c r="I15" s="93">
        <v>0.0</v>
      </c>
      <c r="J15" s="178">
        <f t="shared" si="2"/>
        <v>0.002748838347</v>
      </c>
      <c r="K15" s="178">
        <f t="shared" si="3"/>
        <v>-0.00001723774413</v>
      </c>
      <c r="L15" s="178">
        <f>IF(AND(C15="",D15=""),"",(($C15-$G15)*'4. Compliance'!$F$8+($D15-$H15)*'4. Compliance'!$F$9+($E15-$I15)*'4. Compliance'!$F$10)/(($C$17-$G$17)*'4. Compliance'!$F$8+($D$17-$H$17)*'4. Compliance'!$F$9+($E$17-$I$17)*'4. Compliance'!$F$10))</f>
        <v>-0.00009646302251</v>
      </c>
      <c r="M15" s="112" t="s">
        <v>195</v>
      </c>
      <c r="N15" s="55"/>
      <c r="O15" s="55"/>
      <c r="P15" s="55"/>
      <c r="Q15" s="55"/>
      <c r="R15" s="55"/>
      <c r="S15" s="55"/>
      <c r="T15" s="55"/>
      <c r="U15" s="55"/>
      <c r="V15" s="55"/>
      <c r="W15" s="55"/>
      <c r="X15" s="55"/>
      <c r="Y15" s="55"/>
      <c r="Z15" s="55"/>
    </row>
    <row r="16" ht="21.75" customHeight="1">
      <c r="A16" s="73" t="s">
        <v>247</v>
      </c>
      <c r="B16" s="68"/>
      <c r="C16" s="107">
        <f>IF('5a. Baseline Rotations'!O19="","",'5a. Baseline Rotations'!O19)</f>
        <v>0</v>
      </c>
      <c r="D16" s="107">
        <f>IF('5a. Baseline Rotations'!P19="","",'5a. Baseline Rotations'!P19)</f>
        <v>0</v>
      </c>
      <c r="E16" s="107">
        <f>IF('5a. Baseline Rotations'!Q19="","",'5a. Baseline Rotations'!Q19)</f>
        <v>0</v>
      </c>
      <c r="F16" s="178">
        <f t="shared" si="1"/>
        <v>0</v>
      </c>
      <c r="G16" s="93">
        <v>0.0</v>
      </c>
      <c r="H16" s="93">
        <v>0.0</v>
      </c>
      <c r="I16" s="93">
        <v>0.0</v>
      </c>
      <c r="J16" s="178">
        <f t="shared" si="2"/>
        <v>0</v>
      </c>
      <c r="K16" s="178">
        <f t="shared" si="3"/>
        <v>0</v>
      </c>
      <c r="L16" s="178">
        <f>IF(AND(C16="",D16=""),"",(($C16-$G16)*'4. Compliance'!$F$8+($D16-$H16)*'4. Compliance'!$F$9+($E16-$I16)*'4. Compliance'!$F$10)/(($C$17-$G$17)*'4. Compliance'!$F$8+($D$17-$H$17)*'4. Compliance'!$F$9+($E$17-$I$17)*'4. Compliance'!$F$10))</f>
        <v>0</v>
      </c>
      <c r="M16" s="112" t="s">
        <v>195</v>
      </c>
      <c r="N16" s="55"/>
      <c r="O16" s="55"/>
      <c r="P16" s="55"/>
      <c r="Q16" s="55"/>
      <c r="R16" s="55"/>
      <c r="S16" s="55"/>
      <c r="T16" s="55"/>
      <c r="U16" s="55"/>
      <c r="V16" s="55"/>
      <c r="W16" s="55"/>
      <c r="X16" s="55"/>
      <c r="Y16" s="55"/>
      <c r="Z16" s="55"/>
    </row>
    <row r="17" ht="21.75" customHeight="1">
      <c r="A17" s="66" t="s">
        <v>209</v>
      </c>
      <c r="B17" s="68"/>
      <c r="C17" s="107">
        <f t="shared" ref="C17:G17" si="4">IF(SUM(C6:C16)=0,0,SUM(C6:C16))</f>
        <v>133325</v>
      </c>
      <c r="D17" s="107">
        <f t="shared" si="4"/>
        <v>4877</v>
      </c>
      <c r="E17" s="107">
        <f t="shared" si="4"/>
        <v>0</v>
      </c>
      <c r="F17" s="178">
        <f t="shared" si="4"/>
        <v>1</v>
      </c>
      <c r="G17" s="107">
        <f t="shared" si="4"/>
        <v>102225</v>
      </c>
      <c r="H17" s="107">
        <f t="shared" ref="H17:I17" si="5">IF(SUM(H6:H16)=0,0,SUM(H7:H16))</f>
        <v>0</v>
      </c>
      <c r="I17" s="107">
        <f t="shared" si="5"/>
        <v>0</v>
      </c>
      <c r="J17" s="178">
        <f t="shared" ref="J17:L17" si="6">SUM(J6:J16)</f>
        <v>1</v>
      </c>
      <c r="K17" s="178">
        <f t="shared" si="6"/>
        <v>1</v>
      </c>
      <c r="L17" s="178">
        <f t="shared" si="6"/>
        <v>1</v>
      </c>
      <c r="M17" s="112" t="s">
        <v>195</v>
      </c>
      <c r="N17" s="55"/>
      <c r="O17" s="55"/>
      <c r="P17" s="55"/>
      <c r="Q17" s="55"/>
      <c r="R17" s="55"/>
      <c r="S17" s="55"/>
      <c r="T17" s="55"/>
      <c r="U17" s="55"/>
      <c r="V17" s="55"/>
      <c r="W17" s="55"/>
      <c r="X17" s="55"/>
      <c r="Y17" s="55"/>
      <c r="Z17" s="55"/>
    </row>
    <row r="18" ht="24.75" customHeight="1">
      <c r="A18" s="188"/>
      <c r="B18" s="189"/>
      <c r="C18" s="189"/>
      <c r="D18" s="189"/>
      <c r="E18" s="189"/>
      <c r="F18" s="189"/>
      <c r="G18" s="189"/>
      <c r="H18" s="189"/>
      <c r="I18" s="189"/>
      <c r="J18" s="189"/>
      <c r="K18" s="189"/>
      <c r="L18" s="135"/>
      <c r="M18" s="135"/>
      <c r="N18" s="55"/>
      <c r="O18" s="55"/>
      <c r="P18" s="55"/>
      <c r="Q18" s="55"/>
      <c r="R18" s="55"/>
      <c r="S18" s="55"/>
      <c r="T18" s="55"/>
      <c r="U18" s="55"/>
      <c r="V18" s="55"/>
      <c r="W18" s="55"/>
      <c r="X18" s="55"/>
      <c r="Y18" s="55"/>
      <c r="Z18" s="55"/>
    </row>
    <row r="19" ht="15.0" customHeight="1">
      <c r="A19" s="62" t="s">
        <v>300</v>
      </c>
      <c r="B19" s="69" t="s">
        <v>302</v>
      </c>
      <c r="C19" s="67"/>
      <c r="D19" s="67"/>
      <c r="E19" s="67"/>
      <c r="F19" s="67"/>
      <c r="G19" s="67"/>
      <c r="H19" s="67"/>
      <c r="I19" s="67"/>
      <c r="J19" s="67"/>
      <c r="K19" s="67"/>
      <c r="L19" s="67"/>
      <c r="M19" s="68"/>
      <c r="N19" s="55"/>
      <c r="O19" s="55"/>
      <c r="P19" s="55"/>
      <c r="Q19" s="55"/>
      <c r="R19" s="55"/>
      <c r="S19" s="55"/>
      <c r="T19" s="55"/>
      <c r="U19" s="55"/>
      <c r="V19" s="55"/>
      <c r="W19" s="55"/>
      <c r="X19" s="55"/>
      <c r="Y19" s="55"/>
      <c r="Z19" s="55"/>
    </row>
    <row r="20" ht="15.0" customHeight="1">
      <c r="A20" s="192" t="s">
        <v>303</v>
      </c>
      <c r="B20" s="45"/>
      <c r="C20" s="45"/>
      <c r="D20" s="45"/>
      <c r="E20" s="45"/>
      <c r="F20" s="45"/>
      <c r="G20" s="46"/>
      <c r="H20" s="192" t="s">
        <v>304</v>
      </c>
      <c r="I20" s="45"/>
      <c r="J20" s="45"/>
      <c r="K20" s="45"/>
      <c r="L20" s="45"/>
      <c r="M20" s="46"/>
      <c r="N20" s="55"/>
      <c r="O20" s="55"/>
      <c r="P20" s="55"/>
      <c r="Q20" s="55"/>
      <c r="R20" s="55"/>
      <c r="S20" s="55"/>
      <c r="T20" s="55"/>
      <c r="U20" s="55"/>
      <c r="V20" s="55"/>
      <c r="W20" s="55"/>
      <c r="X20" s="55"/>
      <c r="Y20" s="55"/>
      <c r="Z20" s="55"/>
    </row>
    <row r="21" ht="15.75" customHeight="1">
      <c r="A21" s="49"/>
      <c r="B21" s="50"/>
      <c r="C21" s="50"/>
      <c r="D21" s="50"/>
      <c r="E21" s="50"/>
      <c r="F21" s="50"/>
      <c r="G21" s="51"/>
      <c r="H21" s="49"/>
      <c r="I21" s="50"/>
      <c r="J21" s="50"/>
      <c r="K21" s="50"/>
      <c r="L21" s="50"/>
      <c r="M21" s="51"/>
      <c r="N21" s="55"/>
      <c r="O21" s="55"/>
      <c r="P21" s="55"/>
      <c r="Q21" s="55"/>
      <c r="R21" s="55"/>
      <c r="S21" s="55"/>
      <c r="T21" s="55"/>
      <c r="U21" s="55"/>
      <c r="V21" s="55"/>
      <c r="W21" s="55"/>
      <c r="X21" s="55"/>
      <c r="Y21" s="55"/>
      <c r="Z21" s="55"/>
    </row>
    <row r="22" ht="15.0" customHeight="1">
      <c r="A22" s="195" t="s">
        <v>307</v>
      </c>
      <c r="B22" s="46"/>
      <c r="C22" s="196" t="s">
        <v>309</v>
      </c>
      <c r="D22" s="45"/>
      <c r="E22" s="45"/>
      <c r="F22" s="45"/>
      <c r="G22" s="46"/>
      <c r="H22" s="197" t="s">
        <v>307</v>
      </c>
      <c r="I22" s="196"/>
      <c r="J22" s="45"/>
      <c r="K22" s="45"/>
      <c r="L22" s="45"/>
      <c r="M22" s="46"/>
      <c r="N22" s="55"/>
      <c r="O22" s="55"/>
      <c r="P22" s="55"/>
      <c r="Q22" s="55"/>
      <c r="R22" s="55"/>
      <c r="S22" s="55"/>
      <c r="T22" s="55"/>
      <c r="U22" s="55"/>
      <c r="V22" s="55"/>
      <c r="W22" s="55"/>
      <c r="X22" s="55"/>
      <c r="Y22" s="55"/>
      <c r="Z22" s="55"/>
    </row>
    <row r="23" ht="15.75" customHeight="1">
      <c r="A23" s="47"/>
      <c r="B23" s="48"/>
      <c r="C23" s="47"/>
      <c r="G23" s="48"/>
      <c r="H23" s="194"/>
      <c r="I23" s="47"/>
      <c r="M23" s="48"/>
      <c r="N23" s="55"/>
      <c r="O23" s="55"/>
      <c r="P23" s="55"/>
      <c r="Q23" s="55"/>
      <c r="R23" s="55"/>
      <c r="S23" s="55"/>
      <c r="T23" s="55"/>
      <c r="U23" s="55"/>
      <c r="V23" s="55"/>
      <c r="W23" s="55"/>
      <c r="X23" s="55"/>
      <c r="Y23" s="55"/>
      <c r="Z23" s="55"/>
    </row>
    <row r="24" ht="15.75" customHeight="1">
      <c r="A24" s="49"/>
      <c r="B24" s="51"/>
      <c r="C24" s="49"/>
      <c r="D24" s="50"/>
      <c r="E24" s="50"/>
      <c r="F24" s="50"/>
      <c r="G24" s="51"/>
      <c r="H24" s="198"/>
      <c r="I24" s="49"/>
      <c r="J24" s="50"/>
      <c r="K24" s="50"/>
      <c r="L24" s="50"/>
      <c r="M24" s="51"/>
      <c r="N24" s="55"/>
      <c r="O24" s="55"/>
      <c r="P24" s="55"/>
      <c r="Q24" s="55"/>
      <c r="R24" s="55"/>
      <c r="S24" s="55"/>
      <c r="T24" s="55"/>
      <c r="U24" s="55"/>
      <c r="V24" s="55"/>
      <c r="W24" s="55"/>
      <c r="X24" s="55"/>
      <c r="Y24" s="55"/>
      <c r="Z24" s="55"/>
    </row>
    <row r="25" ht="15.0" customHeight="1">
      <c r="A25" s="195" t="s">
        <v>315</v>
      </c>
      <c r="B25" s="45"/>
      <c r="C25" s="196" t="s">
        <v>317</v>
      </c>
      <c r="D25" s="45"/>
      <c r="E25" s="45"/>
      <c r="F25" s="45"/>
      <c r="G25" s="46"/>
      <c r="H25" s="197" t="s">
        <v>315</v>
      </c>
      <c r="I25" s="196"/>
      <c r="J25" s="45"/>
      <c r="K25" s="45"/>
      <c r="L25" s="45"/>
      <c r="M25" s="46"/>
      <c r="N25" s="55"/>
      <c r="O25" s="55"/>
      <c r="P25" s="55"/>
      <c r="Q25" s="55"/>
      <c r="R25" s="55"/>
      <c r="S25" s="55"/>
      <c r="T25" s="55"/>
      <c r="U25" s="55"/>
      <c r="V25" s="55"/>
      <c r="W25" s="55"/>
      <c r="X25" s="55"/>
      <c r="Y25" s="55"/>
      <c r="Z25" s="55"/>
    </row>
    <row r="26" ht="15.75" customHeight="1">
      <c r="A26" s="47"/>
      <c r="C26" s="47"/>
      <c r="G26" s="48"/>
      <c r="H26" s="194"/>
      <c r="I26" s="47"/>
      <c r="M26" s="48"/>
      <c r="N26" s="55"/>
      <c r="O26" s="55"/>
      <c r="P26" s="55"/>
      <c r="Q26" s="55"/>
      <c r="R26" s="55"/>
      <c r="S26" s="55"/>
      <c r="T26" s="55"/>
      <c r="U26" s="55"/>
      <c r="V26" s="55"/>
      <c r="W26" s="55"/>
      <c r="X26" s="55"/>
      <c r="Y26" s="55"/>
      <c r="Z26" s="55"/>
    </row>
    <row r="27" ht="15.75" customHeight="1">
      <c r="A27" s="49"/>
      <c r="B27" s="50"/>
      <c r="C27" s="49"/>
      <c r="D27" s="50"/>
      <c r="E27" s="50"/>
      <c r="F27" s="50"/>
      <c r="G27" s="51"/>
      <c r="H27" s="198"/>
      <c r="I27" s="49"/>
      <c r="J27" s="50"/>
      <c r="K27" s="50"/>
      <c r="L27" s="50"/>
      <c r="M27" s="51"/>
      <c r="N27" s="55"/>
      <c r="O27" s="55"/>
      <c r="P27" s="55"/>
      <c r="Q27" s="55"/>
      <c r="R27" s="55"/>
      <c r="S27" s="55"/>
      <c r="T27" s="55"/>
      <c r="U27" s="55"/>
      <c r="V27" s="55"/>
      <c r="W27" s="55"/>
      <c r="X27" s="55"/>
      <c r="Y27" s="55"/>
      <c r="Z27" s="55"/>
    </row>
    <row r="28" ht="15.0" customHeight="1">
      <c r="A28" s="195" t="s">
        <v>320</v>
      </c>
      <c r="B28" s="45"/>
      <c r="C28" s="196" t="s">
        <v>321</v>
      </c>
      <c r="D28" s="45"/>
      <c r="E28" s="45"/>
      <c r="F28" s="45"/>
      <c r="G28" s="46"/>
      <c r="H28" s="197" t="s">
        <v>320</v>
      </c>
      <c r="I28" s="196"/>
      <c r="J28" s="45"/>
      <c r="K28" s="45"/>
      <c r="L28" s="45"/>
      <c r="M28" s="46"/>
      <c r="N28" s="55"/>
      <c r="O28" s="55"/>
      <c r="P28" s="55"/>
      <c r="Q28" s="55"/>
      <c r="R28" s="55"/>
      <c r="S28" s="55"/>
      <c r="T28" s="55"/>
      <c r="U28" s="55"/>
      <c r="V28" s="55"/>
      <c r="W28" s="55"/>
      <c r="X28" s="55"/>
      <c r="Y28" s="55"/>
      <c r="Z28" s="55"/>
    </row>
    <row r="29" ht="15.75" customHeight="1">
      <c r="A29" s="47"/>
      <c r="C29" s="47"/>
      <c r="G29" s="48"/>
      <c r="H29" s="194"/>
      <c r="I29" s="47"/>
      <c r="M29" s="48"/>
      <c r="N29" s="55"/>
      <c r="O29" s="55"/>
      <c r="P29" s="55"/>
      <c r="Q29" s="55"/>
      <c r="R29" s="55"/>
      <c r="S29" s="55"/>
      <c r="T29" s="55"/>
      <c r="U29" s="55"/>
      <c r="V29" s="55"/>
      <c r="W29" s="55"/>
      <c r="X29" s="55"/>
      <c r="Y29" s="55"/>
      <c r="Z29" s="55"/>
    </row>
    <row r="30" ht="15.75" customHeight="1">
      <c r="A30" s="49"/>
      <c r="B30" s="50"/>
      <c r="C30" s="49"/>
      <c r="D30" s="50"/>
      <c r="E30" s="50"/>
      <c r="F30" s="50"/>
      <c r="G30" s="51"/>
      <c r="H30" s="198"/>
      <c r="I30" s="49"/>
      <c r="J30" s="50"/>
      <c r="K30" s="50"/>
      <c r="L30" s="50"/>
      <c r="M30" s="51"/>
      <c r="N30" s="55"/>
      <c r="O30" s="55"/>
      <c r="P30" s="55"/>
      <c r="Q30" s="55"/>
      <c r="R30" s="55"/>
      <c r="S30" s="55"/>
      <c r="T30" s="55"/>
      <c r="U30" s="55"/>
      <c r="V30" s="55"/>
      <c r="W30" s="55"/>
      <c r="X30" s="55"/>
      <c r="Y30" s="55"/>
      <c r="Z30" s="55"/>
    </row>
    <row r="31" ht="15.0" customHeight="1">
      <c r="A31" s="195" t="s">
        <v>324</v>
      </c>
      <c r="B31" s="45"/>
      <c r="C31" s="196" t="s">
        <v>325</v>
      </c>
      <c r="D31" s="45"/>
      <c r="E31" s="45"/>
      <c r="F31" s="45"/>
      <c r="G31" s="46"/>
      <c r="H31" s="197" t="s">
        <v>324</v>
      </c>
      <c r="I31" s="196"/>
      <c r="J31" s="45"/>
      <c r="K31" s="45"/>
      <c r="L31" s="45"/>
      <c r="M31" s="46"/>
      <c r="N31" s="55"/>
      <c r="O31" s="55"/>
      <c r="P31" s="55"/>
      <c r="Q31" s="55"/>
      <c r="R31" s="55"/>
      <c r="S31" s="55"/>
      <c r="T31" s="55"/>
      <c r="U31" s="55"/>
      <c r="V31" s="55"/>
      <c r="W31" s="55"/>
      <c r="X31" s="55"/>
      <c r="Y31" s="55"/>
      <c r="Z31" s="55"/>
    </row>
    <row r="32" ht="15.75" customHeight="1">
      <c r="A32" s="47"/>
      <c r="C32" s="47"/>
      <c r="G32" s="48"/>
      <c r="H32" s="194"/>
      <c r="I32" s="47"/>
      <c r="M32" s="48"/>
      <c r="N32" s="55"/>
      <c r="O32" s="55"/>
      <c r="P32" s="55"/>
      <c r="Q32" s="55"/>
      <c r="R32" s="55"/>
      <c r="S32" s="55"/>
      <c r="T32" s="55"/>
      <c r="U32" s="55"/>
      <c r="V32" s="55"/>
      <c r="W32" s="55"/>
      <c r="X32" s="55"/>
      <c r="Y32" s="55"/>
      <c r="Z32" s="55"/>
    </row>
    <row r="33" ht="15.75" customHeight="1">
      <c r="A33" s="49"/>
      <c r="B33" s="50"/>
      <c r="C33" s="49"/>
      <c r="D33" s="50"/>
      <c r="E33" s="50"/>
      <c r="F33" s="50"/>
      <c r="G33" s="51"/>
      <c r="H33" s="198"/>
      <c r="I33" s="49"/>
      <c r="J33" s="50"/>
      <c r="K33" s="50"/>
      <c r="L33" s="50"/>
      <c r="M33" s="51"/>
      <c r="N33" s="55"/>
      <c r="O33" s="55"/>
      <c r="P33" s="55"/>
      <c r="Q33" s="55"/>
      <c r="R33" s="55"/>
      <c r="S33" s="55"/>
      <c r="T33" s="55"/>
      <c r="U33" s="55"/>
      <c r="V33" s="55"/>
      <c r="W33" s="55"/>
      <c r="X33" s="55"/>
      <c r="Y33" s="55"/>
      <c r="Z33" s="55"/>
    </row>
    <row r="34" ht="15.0" customHeight="1">
      <c r="A34" s="195" t="s">
        <v>327</v>
      </c>
      <c r="B34" s="45"/>
      <c r="C34" s="202" t="s">
        <v>329</v>
      </c>
      <c r="D34" s="203"/>
      <c r="E34" s="203"/>
      <c r="F34" s="203"/>
      <c r="G34" s="204"/>
      <c r="H34" s="197" t="s">
        <v>327</v>
      </c>
      <c r="I34" s="196"/>
      <c r="J34" s="45"/>
      <c r="K34" s="45"/>
      <c r="L34" s="45"/>
      <c r="M34" s="46"/>
      <c r="N34" s="55"/>
      <c r="O34" s="55"/>
      <c r="P34" s="55"/>
      <c r="Q34" s="55"/>
      <c r="R34" s="55"/>
      <c r="S34" s="55"/>
      <c r="T34" s="55"/>
      <c r="U34" s="55"/>
      <c r="V34" s="55"/>
      <c r="W34" s="55"/>
      <c r="X34" s="55"/>
      <c r="Y34" s="55"/>
      <c r="Z34" s="55"/>
    </row>
    <row r="35" ht="15.75" customHeight="1">
      <c r="A35" s="47"/>
      <c r="C35" s="206" t="s">
        <v>330</v>
      </c>
      <c r="D35" s="207"/>
      <c r="E35" s="207"/>
      <c r="F35" s="207"/>
      <c r="G35" s="208"/>
      <c r="H35" s="194"/>
      <c r="I35" s="47"/>
      <c r="M35" s="48"/>
      <c r="N35" s="55"/>
      <c r="O35" s="55"/>
      <c r="P35" s="55"/>
      <c r="Q35" s="55"/>
      <c r="R35" s="55"/>
      <c r="S35" s="55"/>
      <c r="T35" s="55"/>
      <c r="U35" s="55"/>
      <c r="V35" s="55"/>
      <c r="W35" s="55"/>
      <c r="X35" s="55"/>
      <c r="Y35" s="55"/>
      <c r="Z35" s="55"/>
    </row>
    <row r="36" ht="15.75" customHeight="1">
      <c r="A36" s="49"/>
      <c r="B36" s="50"/>
      <c r="C36" s="209"/>
      <c r="D36" s="210"/>
      <c r="E36" s="210"/>
      <c r="F36" s="210"/>
      <c r="G36" s="211"/>
      <c r="H36" s="198"/>
      <c r="I36" s="49"/>
      <c r="J36" s="50"/>
      <c r="K36" s="50"/>
      <c r="L36" s="50"/>
      <c r="M36" s="51"/>
      <c r="N36" s="55"/>
      <c r="O36" s="55"/>
      <c r="P36" s="55"/>
      <c r="Q36" s="55"/>
      <c r="R36" s="55"/>
      <c r="S36" s="55"/>
      <c r="T36" s="55"/>
      <c r="U36" s="55"/>
      <c r="V36" s="55"/>
      <c r="W36" s="55"/>
      <c r="X36" s="55"/>
      <c r="Y36" s="55"/>
      <c r="Z36" s="55"/>
    </row>
    <row r="37" ht="15.0" customHeight="1">
      <c r="A37" s="195" t="s">
        <v>336</v>
      </c>
      <c r="B37" s="45"/>
      <c r="C37" s="196" t="s">
        <v>338</v>
      </c>
      <c r="D37" s="45"/>
      <c r="E37" s="45"/>
      <c r="F37" s="45"/>
      <c r="G37" s="46"/>
      <c r="H37" s="197" t="s">
        <v>336</v>
      </c>
      <c r="I37" s="196"/>
      <c r="J37" s="45"/>
      <c r="K37" s="45"/>
      <c r="L37" s="45"/>
      <c r="M37" s="46"/>
      <c r="N37" s="55"/>
      <c r="O37" s="55"/>
      <c r="P37" s="55"/>
      <c r="Q37" s="55"/>
      <c r="R37" s="55"/>
      <c r="S37" s="55"/>
      <c r="T37" s="55"/>
      <c r="U37" s="55"/>
      <c r="V37" s="55"/>
      <c r="W37" s="55"/>
      <c r="X37" s="55"/>
      <c r="Y37" s="55"/>
      <c r="Z37" s="55"/>
    </row>
    <row r="38" ht="15.75" customHeight="1">
      <c r="A38" s="47"/>
      <c r="C38" s="47"/>
      <c r="G38" s="48"/>
      <c r="H38" s="194"/>
      <c r="I38" s="47"/>
      <c r="M38" s="48"/>
      <c r="N38" s="55"/>
      <c r="O38" s="55"/>
      <c r="P38" s="55"/>
      <c r="Q38" s="55"/>
      <c r="R38" s="55"/>
      <c r="S38" s="55"/>
      <c r="T38" s="55"/>
      <c r="U38" s="55"/>
      <c r="V38" s="55"/>
      <c r="W38" s="55"/>
      <c r="X38" s="55"/>
      <c r="Y38" s="55"/>
      <c r="Z38" s="55"/>
    </row>
    <row r="39" ht="15.75" customHeight="1">
      <c r="A39" s="49"/>
      <c r="B39" s="50"/>
      <c r="C39" s="49"/>
      <c r="D39" s="50"/>
      <c r="E39" s="50"/>
      <c r="F39" s="50"/>
      <c r="G39" s="51"/>
      <c r="H39" s="198"/>
      <c r="I39" s="49"/>
      <c r="J39" s="50"/>
      <c r="K39" s="50"/>
      <c r="L39" s="50"/>
      <c r="M39" s="51"/>
      <c r="N39" s="55"/>
      <c r="O39" s="55"/>
      <c r="P39" s="55"/>
      <c r="Q39" s="55"/>
      <c r="R39" s="55"/>
      <c r="S39" s="55"/>
      <c r="T39" s="55"/>
      <c r="U39" s="55"/>
      <c r="V39" s="55"/>
      <c r="W39" s="55"/>
      <c r="X39" s="55"/>
      <c r="Y39" s="55"/>
      <c r="Z39" s="55"/>
    </row>
    <row r="40" ht="15.0" customHeight="1">
      <c r="A40" s="195" t="s">
        <v>341</v>
      </c>
      <c r="B40" s="45"/>
      <c r="C40" s="196" t="s">
        <v>342</v>
      </c>
      <c r="D40" s="45"/>
      <c r="E40" s="45"/>
      <c r="F40" s="45"/>
      <c r="G40" s="46"/>
      <c r="H40" s="197" t="s">
        <v>341</v>
      </c>
      <c r="I40" s="196"/>
      <c r="J40" s="45"/>
      <c r="K40" s="45"/>
      <c r="L40" s="45"/>
      <c r="M40" s="46"/>
      <c r="N40" s="55"/>
      <c r="O40" s="55"/>
      <c r="P40" s="55"/>
      <c r="Q40" s="55"/>
      <c r="R40" s="55"/>
      <c r="S40" s="55"/>
      <c r="T40" s="55"/>
      <c r="U40" s="55"/>
      <c r="V40" s="55"/>
      <c r="W40" s="55"/>
      <c r="X40" s="55"/>
      <c r="Y40" s="55"/>
      <c r="Z40" s="55"/>
    </row>
    <row r="41" ht="15.75" customHeight="1">
      <c r="A41" s="47"/>
      <c r="C41" s="47"/>
      <c r="G41" s="48"/>
      <c r="H41" s="194"/>
      <c r="I41" s="47"/>
      <c r="M41" s="48"/>
      <c r="N41" s="55"/>
      <c r="O41" s="55"/>
      <c r="P41" s="55"/>
      <c r="Q41" s="55"/>
      <c r="R41" s="55"/>
      <c r="S41" s="55"/>
      <c r="T41" s="55"/>
      <c r="U41" s="55"/>
      <c r="V41" s="55"/>
      <c r="W41" s="55"/>
      <c r="X41" s="55"/>
      <c r="Y41" s="55"/>
      <c r="Z41" s="55"/>
    </row>
    <row r="42" ht="15.75" customHeight="1">
      <c r="A42" s="49"/>
      <c r="B42" s="50"/>
      <c r="C42" s="49"/>
      <c r="D42" s="50"/>
      <c r="E42" s="50"/>
      <c r="F42" s="50"/>
      <c r="G42" s="51"/>
      <c r="H42" s="198"/>
      <c r="I42" s="49"/>
      <c r="J42" s="50"/>
      <c r="K42" s="50"/>
      <c r="L42" s="50"/>
      <c r="M42" s="51"/>
      <c r="N42" s="55"/>
      <c r="O42" s="55"/>
      <c r="P42" s="55"/>
      <c r="Q42" s="55"/>
      <c r="R42" s="55"/>
      <c r="S42" s="55"/>
      <c r="T42" s="55"/>
      <c r="U42" s="55"/>
      <c r="V42" s="55"/>
      <c r="W42" s="55"/>
      <c r="X42" s="55"/>
      <c r="Y42" s="55"/>
      <c r="Z42" s="55"/>
    </row>
    <row r="43" ht="15.0" customHeight="1">
      <c r="A43" s="195" t="s">
        <v>343</v>
      </c>
      <c r="B43" s="45"/>
      <c r="C43" s="196" t="s">
        <v>344</v>
      </c>
      <c r="D43" s="45"/>
      <c r="E43" s="45"/>
      <c r="F43" s="45"/>
      <c r="G43" s="46"/>
      <c r="H43" s="197" t="s">
        <v>343</v>
      </c>
      <c r="I43" s="196"/>
      <c r="J43" s="45"/>
      <c r="K43" s="45"/>
      <c r="L43" s="45"/>
      <c r="M43" s="46"/>
      <c r="N43" s="55"/>
      <c r="O43" s="55"/>
      <c r="P43" s="55"/>
      <c r="Q43" s="55"/>
      <c r="R43" s="55"/>
      <c r="S43" s="55"/>
      <c r="T43" s="55"/>
      <c r="U43" s="55"/>
      <c r="V43" s="55"/>
      <c r="W43" s="55"/>
      <c r="X43" s="55"/>
      <c r="Y43" s="55"/>
      <c r="Z43" s="55"/>
    </row>
    <row r="44" ht="15.75" customHeight="1">
      <c r="A44" s="47"/>
      <c r="C44" s="47"/>
      <c r="G44" s="48"/>
      <c r="H44" s="194"/>
      <c r="I44" s="47"/>
      <c r="M44" s="48"/>
      <c r="N44" s="55"/>
      <c r="O44" s="55"/>
      <c r="P44" s="55"/>
      <c r="Q44" s="55"/>
      <c r="R44" s="55"/>
      <c r="S44" s="55"/>
      <c r="T44" s="55"/>
      <c r="U44" s="55"/>
      <c r="V44" s="55"/>
      <c r="W44" s="55"/>
      <c r="X44" s="55"/>
      <c r="Y44" s="55"/>
      <c r="Z44" s="55"/>
    </row>
    <row r="45" ht="15.75" customHeight="1">
      <c r="A45" s="49"/>
      <c r="B45" s="50"/>
      <c r="C45" s="49"/>
      <c r="D45" s="50"/>
      <c r="E45" s="50"/>
      <c r="F45" s="50"/>
      <c r="G45" s="51"/>
      <c r="H45" s="198"/>
      <c r="I45" s="49"/>
      <c r="J45" s="50"/>
      <c r="K45" s="50"/>
      <c r="L45" s="50"/>
      <c r="M45" s="51"/>
      <c r="N45" s="55"/>
      <c r="O45" s="55"/>
      <c r="P45" s="55"/>
      <c r="Q45" s="55"/>
      <c r="R45" s="55"/>
      <c r="S45" s="55"/>
      <c r="T45" s="55"/>
      <c r="U45" s="55"/>
      <c r="V45" s="55"/>
      <c r="W45" s="55"/>
      <c r="X45" s="55"/>
      <c r="Y45" s="55"/>
      <c r="Z45" s="55"/>
    </row>
    <row r="46" ht="15.75" customHeight="1">
      <c r="A46" s="195" t="s">
        <v>278</v>
      </c>
      <c r="B46" s="45"/>
      <c r="C46" s="196" t="s">
        <v>346</v>
      </c>
      <c r="D46" s="45"/>
      <c r="E46" s="45"/>
      <c r="F46" s="45"/>
      <c r="G46" s="46"/>
      <c r="H46" s="222" t="s">
        <v>278</v>
      </c>
      <c r="I46" s="196"/>
      <c r="J46" s="45"/>
      <c r="K46" s="45"/>
      <c r="L46" s="45"/>
      <c r="M46" s="46"/>
      <c r="N46" s="55"/>
      <c r="O46" s="55"/>
      <c r="P46" s="55"/>
      <c r="Q46" s="55"/>
      <c r="R46" s="55"/>
      <c r="S46" s="55"/>
      <c r="T46" s="55"/>
      <c r="U46" s="55"/>
      <c r="V46" s="55"/>
      <c r="W46" s="55"/>
      <c r="X46" s="55"/>
      <c r="Y46" s="55"/>
      <c r="Z46" s="55"/>
    </row>
    <row r="47" ht="15.75" customHeight="1">
      <c r="A47" s="47"/>
      <c r="C47" s="47"/>
      <c r="G47" s="48"/>
      <c r="H47" s="223"/>
      <c r="I47" s="47"/>
      <c r="M47" s="48"/>
      <c r="N47" s="55"/>
      <c r="O47" s="55"/>
      <c r="P47" s="55"/>
      <c r="Q47" s="55"/>
      <c r="R47" s="55"/>
      <c r="S47" s="55"/>
      <c r="T47" s="55"/>
      <c r="U47" s="55"/>
      <c r="V47" s="55"/>
      <c r="W47" s="55"/>
      <c r="X47" s="55"/>
      <c r="Y47" s="55"/>
      <c r="Z47" s="55"/>
    </row>
    <row r="48" ht="15.75" customHeight="1">
      <c r="A48" s="49"/>
      <c r="B48" s="50"/>
      <c r="C48" s="49"/>
      <c r="D48" s="50"/>
      <c r="E48" s="50"/>
      <c r="F48" s="50"/>
      <c r="G48" s="51"/>
      <c r="H48" s="224"/>
      <c r="I48" s="49"/>
      <c r="J48" s="50"/>
      <c r="K48" s="50"/>
      <c r="L48" s="50"/>
      <c r="M48" s="51"/>
      <c r="N48" s="55"/>
      <c r="O48" s="55"/>
      <c r="P48" s="55"/>
      <c r="Q48" s="55"/>
      <c r="R48" s="55"/>
      <c r="S48" s="55"/>
      <c r="T48" s="55"/>
      <c r="U48" s="55"/>
      <c r="V48" s="55"/>
      <c r="W48" s="55"/>
      <c r="X48" s="55"/>
      <c r="Y48" s="55"/>
      <c r="Z48" s="55"/>
    </row>
    <row r="49" ht="15.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5.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5.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5.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5.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5.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5.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5.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5.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5.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5.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5.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5.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28:B30"/>
    <mergeCell ref="A31:B33"/>
    <mergeCell ref="C31:G33"/>
    <mergeCell ref="H31:H33"/>
    <mergeCell ref="I31:M33"/>
    <mergeCell ref="H34:H36"/>
    <mergeCell ref="I34:M36"/>
    <mergeCell ref="A34:B36"/>
    <mergeCell ref="A37:B39"/>
    <mergeCell ref="C37:G39"/>
    <mergeCell ref="H37:H39"/>
    <mergeCell ref="I37:M39"/>
    <mergeCell ref="A40:B42"/>
    <mergeCell ref="C40:G42"/>
    <mergeCell ref="B2:M2"/>
    <mergeCell ref="A3:M3"/>
    <mergeCell ref="A4:B4"/>
    <mergeCell ref="C4:F4"/>
    <mergeCell ref="G4:J4"/>
    <mergeCell ref="K4:M4"/>
    <mergeCell ref="A5:B5"/>
    <mergeCell ref="A20:G21"/>
    <mergeCell ref="C22:G24"/>
    <mergeCell ref="H22:H24"/>
    <mergeCell ref="I22:M24"/>
    <mergeCell ref="A13:B13"/>
    <mergeCell ref="A14:B14"/>
    <mergeCell ref="A15:B15"/>
    <mergeCell ref="A16:B16"/>
    <mergeCell ref="A17:B17"/>
    <mergeCell ref="B19:M19"/>
    <mergeCell ref="H20:M21"/>
    <mergeCell ref="A22:B24"/>
    <mergeCell ref="A25:B27"/>
    <mergeCell ref="C25:G27"/>
    <mergeCell ref="H25:H27"/>
    <mergeCell ref="I25:M27"/>
    <mergeCell ref="C28:G30"/>
    <mergeCell ref="H28:H30"/>
    <mergeCell ref="I28:M30"/>
    <mergeCell ref="A6:B6"/>
    <mergeCell ref="A7:B7"/>
    <mergeCell ref="A8:B8"/>
    <mergeCell ref="A9:B9"/>
    <mergeCell ref="A10:B10"/>
    <mergeCell ref="A11:B11"/>
    <mergeCell ref="A12:B12"/>
    <mergeCell ref="H40:H42"/>
    <mergeCell ref="I40:M42"/>
    <mergeCell ref="A43:B45"/>
    <mergeCell ref="C43:G45"/>
    <mergeCell ref="H43:H45"/>
    <mergeCell ref="I43:M45"/>
    <mergeCell ref="A46:B48"/>
    <mergeCell ref="C46:G48"/>
    <mergeCell ref="H46:H48"/>
    <mergeCell ref="I46:M48"/>
  </mergeCells>
  <conditionalFormatting sqref="I6:I16">
    <cfRule type="containsBlanks" dxfId="0" priority="1">
      <formula>LEN(TRIM(I6))=0</formula>
    </cfRule>
  </conditionalFormatting>
  <conditionalFormatting sqref="I6:I16">
    <cfRule type="containsBlanks" dxfId="0" priority="2">
      <formula>LEN(TRIM(I6))=0</formula>
    </cfRule>
  </conditionalFormatting>
  <conditionalFormatting sqref="G6:H16">
    <cfRule type="containsBlanks" dxfId="0" priority="3">
      <formula>LEN(TRIM(G6))=0</formula>
    </cfRule>
  </conditionalFormatting>
  <conditionalFormatting sqref="G6:H16">
    <cfRule type="containsBlanks" dxfId="0" priority="4">
      <formula>LEN(TRIM(G6))=0</formula>
    </cfRule>
  </conditionalFormatting>
  <conditionalFormatting sqref="M6:M17">
    <cfRule type="containsBlanks" dxfId="0" priority="5">
      <formula>LEN(TRIM(M6))=0</formula>
    </cfRule>
  </conditionalFormatting>
  <printOptions/>
  <pageMargins bottom="0.42138888888888887" footer="0.0" header="0.0" left="0.7" right="0.7" top="0.75"/>
  <pageSetup scale="82" orientation="portrait"/>
  <headerFooter>
    <oddFooter>&amp;LVersion 7&amp;RAugust 2023</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10.57"/>
    <col customWidth="1" min="3" max="3" width="10.71"/>
    <col customWidth="1" min="4" max="4" width="9.29"/>
    <col customWidth="1" min="5" max="5" width="10.29"/>
    <col customWidth="1" min="6" max="6" width="10.43"/>
    <col customWidth="1" min="7" max="8" width="10.71"/>
    <col customWidth="1" min="9" max="9" width="8.57"/>
    <col customWidth="1" min="10" max="10" width="9.86"/>
    <col customWidth="1" min="11" max="11" width="10.71"/>
    <col customWidth="1" min="12" max="26" width="8.71"/>
  </cols>
  <sheetData>
    <row r="3" ht="15.75" customHeight="1">
      <c r="A3" s="62">
        <v>5.0</v>
      </c>
      <c r="B3" s="66" t="s">
        <v>263</v>
      </c>
      <c r="C3" s="67"/>
      <c r="D3" s="67"/>
      <c r="E3" s="67"/>
      <c r="F3" s="67"/>
      <c r="G3" s="67"/>
      <c r="H3" s="67"/>
      <c r="I3" s="67"/>
      <c r="J3" s="67"/>
      <c r="K3" s="68"/>
    </row>
    <row r="4" ht="22.5" customHeight="1">
      <c r="A4" s="66"/>
      <c r="B4" s="68"/>
      <c r="C4" s="69" t="s">
        <v>141</v>
      </c>
      <c r="D4" s="67"/>
      <c r="E4" s="68"/>
      <c r="F4" s="69" t="s">
        <v>267</v>
      </c>
      <c r="G4" s="67"/>
      <c r="H4" s="67"/>
      <c r="I4" s="67"/>
      <c r="J4" s="68"/>
      <c r="K4" s="183"/>
      <c r="L4" s="120"/>
      <c r="M4" s="120"/>
      <c r="N4" s="120"/>
      <c r="O4" s="120"/>
      <c r="P4" s="120"/>
      <c r="Q4" s="120"/>
      <c r="R4" s="120"/>
      <c r="S4" s="120"/>
      <c r="T4" s="120"/>
      <c r="U4" s="120"/>
      <c r="V4" s="120"/>
      <c r="W4" s="120"/>
      <c r="X4" s="120"/>
      <c r="Y4" s="120"/>
      <c r="Z4" s="120"/>
    </row>
    <row r="5" ht="54.75" customHeight="1">
      <c r="A5" s="73"/>
      <c r="B5" s="68"/>
      <c r="C5" s="80" t="s">
        <v>270</v>
      </c>
      <c r="D5" s="80" t="s">
        <v>271</v>
      </c>
      <c r="E5" s="80" t="s">
        <v>295</v>
      </c>
      <c r="F5" s="80" t="s">
        <v>270</v>
      </c>
      <c r="G5" s="80" t="s">
        <v>271</v>
      </c>
      <c r="H5" s="80" t="s">
        <v>295</v>
      </c>
      <c r="I5" s="80" t="s">
        <v>276</v>
      </c>
      <c r="J5" s="80" t="s">
        <v>277</v>
      </c>
      <c r="K5" s="80" t="s">
        <v>160</v>
      </c>
      <c r="L5" s="120"/>
      <c r="M5" s="120"/>
      <c r="N5" s="120"/>
      <c r="O5" s="120"/>
      <c r="P5" s="120"/>
      <c r="Q5" s="120"/>
      <c r="R5" s="120"/>
      <c r="S5" s="120"/>
      <c r="T5" s="120"/>
      <c r="U5" s="120"/>
      <c r="V5" s="120"/>
      <c r="W5" s="120"/>
      <c r="X5" s="120"/>
      <c r="Y5" s="120"/>
      <c r="Z5" s="120"/>
    </row>
    <row r="6" ht="15.0" customHeight="1">
      <c r="A6" s="73" t="s">
        <v>174</v>
      </c>
      <c r="B6" s="68"/>
      <c r="C6" s="96">
        <v>1745801.25</v>
      </c>
      <c r="D6" s="96">
        <v>0.0</v>
      </c>
      <c r="E6" s="101">
        <v>0.0</v>
      </c>
      <c r="F6" s="96">
        <v>1556051.0</v>
      </c>
      <c r="G6" s="184"/>
      <c r="H6" s="185"/>
      <c r="I6" s="178">
        <f>IF(AND(C6="",D6=""),"",((C6-F6)*0.0341214+(D6-G6))/(($C$16-$F$16)*0.0341214+($D$16-$G$16)))</f>
        <v>0.1705256552</v>
      </c>
      <c r="J6" s="178">
        <f>IF(AND(C6="",D6=""),"",(($C6-$F6)*'4. Compliance'!$F$8+($D6-$G6)*'4. Compliance'!$F$9)/(($C$16-$F$16)*'4. Compliance'!$F$8+($D$16-$G$16)*'4. Compliance'!$F$9))</f>
        <v>0.2409298292</v>
      </c>
      <c r="K6" s="185" t="s">
        <v>190</v>
      </c>
      <c r="L6" s="120"/>
      <c r="M6" s="120"/>
      <c r="N6" s="120"/>
      <c r="O6" s="120"/>
      <c r="P6" s="120"/>
      <c r="Q6" s="120"/>
      <c r="R6" s="120"/>
      <c r="S6" s="120"/>
      <c r="T6" s="120"/>
      <c r="U6" s="120"/>
      <c r="V6" s="120"/>
      <c r="W6" s="120"/>
      <c r="X6" s="120"/>
      <c r="Y6" s="120"/>
      <c r="Z6" s="120"/>
    </row>
    <row r="7" ht="15.0" customHeight="1">
      <c r="A7" s="73" t="s">
        <v>296</v>
      </c>
      <c r="B7" s="68"/>
      <c r="C7" s="96">
        <v>1392190.0</v>
      </c>
      <c r="D7" s="96">
        <v>0.0</v>
      </c>
      <c r="E7" s="101">
        <v>0.0</v>
      </c>
      <c r="F7" s="96">
        <v>1392190.0</v>
      </c>
      <c r="G7" s="101"/>
      <c r="H7" s="185"/>
      <c r="I7" s="178">
        <f>IF(AND(C7="",D7=""),"",((C7-F7)*0.00341214+(D7-G7)*0.1)/(($C$16-$F$16)*0.00341214+($D$16-$G$16)*0.1))</f>
        <v>0</v>
      </c>
      <c r="J7" s="178">
        <f>IF(AND(C7="",D7=""),"",(($C7-$F7)*'4. Compliance'!$F$8+($D7-$G7)*'4. Compliance'!$F$9)/(($C$16-$F$16)*'4. Compliance'!$F$8+($D$16-$G$16)*'4. Compliance'!$F$9))</f>
        <v>0</v>
      </c>
      <c r="K7" s="185" t="s">
        <v>190</v>
      </c>
      <c r="L7" s="120"/>
      <c r="M7" s="120"/>
      <c r="N7" s="120"/>
      <c r="O7" s="120"/>
      <c r="P7" s="120"/>
      <c r="Q7" s="120"/>
      <c r="R7" s="120"/>
      <c r="S7" s="120"/>
      <c r="T7" s="120"/>
      <c r="U7" s="120"/>
      <c r="V7" s="120"/>
      <c r="W7" s="120"/>
      <c r="X7" s="120"/>
      <c r="Y7" s="120"/>
      <c r="Z7" s="120"/>
    </row>
    <row r="8" ht="15.0" customHeight="1">
      <c r="A8" s="73" t="s">
        <v>204</v>
      </c>
      <c r="B8" s="68"/>
      <c r="C8" s="96">
        <v>531458.5</v>
      </c>
      <c r="D8" s="96">
        <v>109038.0</v>
      </c>
      <c r="E8" s="101">
        <v>0.0</v>
      </c>
      <c r="F8" s="101">
        <v>368529.0</v>
      </c>
      <c r="G8" s="101">
        <v>126064.0</v>
      </c>
      <c r="H8" s="185"/>
      <c r="I8" s="178">
        <f t="shared" ref="I8:I16" si="1">IF(AND(C8="",D8=""),"",((C8-F8)*0.0341214+(D8-G8))/(($C$16-$F$16)*0.0341214+($D$16-$G$16)))</f>
        <v>-0.3020061928</v>
      </c>
      <c r="J8" s="178">
        <f>IF(AND(C8="",D8=""),"",(($C8-$F8)*'4. Compliance'!$F$8+($D8-$G8)*'4. Compliance'!$F$9)/(($C$16-$F$16)*'4. Compliance'!$F$8+($D$16-$G$16)*'4. Compliance'!$F$9))</f>
        <v>0.2068749665</v>
      </c>
      <c r="K8" s="185" t="s">
        <v>190</v>
      </c>
      <c r="L8" s="120"/>
      <c r="M8" s="120"/>
      <c r="N8" s="120"/>
      <c r="O8" s="120"/>
      <c r="P8" s="120"/>
      <c r="Q8" s="120"/>
      <c r="R8" s="120"/>
      <c r="S8" s="120"/>
      <c r="T8" s="120"/>
      <c r="U8" s="120"/>
      <c r="V8" s="120"/>
      <c r="W8" s="120"/>
      <c r="X8" s="120"/>
      <c r="Y8" s="120"/>
      <c r="Z8" s="120"/>
    </row>
    <row r="9" ht="15.0" customHeight="1">
      <c r="A9" s="73" t="s">
        <v>212</v>
      </c>
      <c r="B9" s="68"/>
      <c r="C9" s="96">
        <v>1303419.25</v>
      </c>
      <c r="D9" s="96">
        <v>0.0</v>
      </c>
      <c r="E9" s="101">
        <v>0.0</v>
      </c>
      <c r="F9" s="101">
        <v>1113250.0</v>
      </c>
      <c r="G9" s="101"/>
      <c r="H9" s="185"/>
      <c r="I9" s="178">
        <f t="shared" si="1"/>
        <v>0.1709022041</v>
      </c>
      <c r="J9" s="178">
        <f>IF(AND(C9="",D9=""),"",(($C9-$F9)*'4. Compliance'!$F$8+($D9-$G9)*'4. Compliance'!$F$9)/(($C$16-$F$16)*'4. Compliance'!$F$8+($D$16-$G$16)*'4. Compliance'!$F$9))</f>
        <v>0.2414618422</v>
      </c>
      <c r="K9" s="185" t="s">
        <v>190</v>
      </c>
      <c r="L9" s="120"/>
      <c r="M9" s="120"/>
      <c r="N9" s="120"/>
      <c r="O9" s="120"/>
      <c r="P9" s="120"/>
      <c r="Q9" s="120"/>
      <c r="R9" s="120"/>
      <c r="S9" s="120"/>
      <c r="T9" s="120"/>
      <c r="U9" s="120"/>
      <c r="V9" s="120"/>
      <c r="W9" s="120"/>
      <c r="X9" s="120"/>
      <c r="Y9" s="120"/>
      <c r="Z9" s="120"/>
    </row>
    <row r="10" ht="15.0" customHeight="1">
      <c r="A10" s="73" t="s">
        <v>217</v>
      </c>
      <c r="B10" s="68"/>
      <c r="C10" s="96">
        <v>35071.5</v>
      </c>
      <c r="D10" s="96">
        <v>0.0</v>
      </c>
      <c r="E10" s="101">
        <v>0.0</v>
      </c>
      <c r="F10" s="101">
        <v>8053.0</v>
      </c>
      <c r="G10" s="101"/>
      <c r="H10" s="185"/>
      <c r="I10" s="178">
        <f t="shared" si="1"/>
        <v>0.02428111381</v>
      </c>
      <c r="J10" s="178">
        <f>IF(AND(C10="",D10=""),"",(($C10-$F10)*'4. Compliance'!$F$8+($D10-$G10)*'4. Compliance'!$F$9)/(($C$16-$F$16)*'4. Compliance'!$F$8+($D$16-$G$16)*'4. Compliance'!$F$9))</f>
        <v>0.03430595001</v>
      </c>
      <c r="K10" s="185" t="s">
        <v>190</v>
      </c>
    </row>
    <row r="11" ht="15.0" customHeight="1">
      <c r="A11" s="73" t="s">
        <v>225</v>
      </c>
      <c r="B11" s="68"/>
      <c r="C11" s="96">
        <v>757739.0</v>
      </c>
      <c r="D11" s="96">
        <v>0.0</v>
      </c>
      <c r="E11" s="101">
        <v>0.0</v>
      </c>
      <c r="F11" s="101">
        <v>510815.0</v>
      </c>
      <c r="G11" s="101"/>
      <c r="H11" s="185"/>
      <c r="I11" s="178">
        <f t="shared" si="1"/>
        <v>0.2219068322</v>
      </c>
      <c r="J11" s="178">
        <f>IF(AND(C11="",D11=""),"",(($C11-$F11)*'4. Compliance'!$F$8+($D11-$G11)*'4. Compliance'!$F$9)/(($C$16-$F$16)*'4. Compliance'!$F$8+($D$16-$G$16)*'4. Compliance'!$F$9))</f>
        <v>0.3135245258</v>
      </c>
      <c r="K11" s="185" t="s">
        <v>190</v>
      </c>
    </row>
    <row r="12" ht="15.0" customHeight="1">
      <c r="A12" s="73" t="s">
        <v>233</v>
      </c>
      <c r="B12" s="68"/>
      <c r="C12" s="96">
        <v>1224198.25</v>
      </c>
      <c r="D12" s="96">
        <v>0.0</v>
      </c>
      <c r="E12" s="101">
        <v>0.0</v>
      </c>
      <c r="F12" s="101">
        <v>1262322.0</v>
      </c>
      <c r="G12" s="101"/>
      <c r="H12" s="185"/>
      <c r="I12" s="178">
        <f t="shared" si="1"/>
        <v>-0.03426123258</v>
      </c>
      <c r="J12" s="178">
        <f>IF(AND(C12="",D12=""),"",(($C12-$F12)*'4. Compliance'!$F$8+($D12-$G12)*'4. Compliance'!$F$9)/(($C$16-$F$16)*'4. Compliance'!$F$8+($D$16-$G$16)*'4. Compliance'!$F$9))</f>
        <v>-0.04840651633</v>
      </c>
      <c r="K12" s="185" t="s">
        <v>190</v>
      </c>
    </row>
    <row r="13" ht="15.0" customHeight="1">
      <c r="A13" s="73" t="s">
        <v>237</v>
      </c>
      <c r="B13" s="68"/>
      <c r="C13" s="96">
        <v>0.0</v>
      </c>
      <c r="D13" s="96">
        <v>214343.0</v>
      </c>
      <c r="E13" s="101">
        <v>0.0</v>
      </c>
      <c r="F13" s="101"/>
      <c r="G13" s="101">
        <v>186222.0</v>
      </c>
      <c r="H13" s="185"/>
      <c r="I13" s="178">
        <f t="shared" si="1"/>
        <v>0.740647035</v>
      </c>
      <c r="J13" s="178">
        <f>IF(AND(C13="",D13=""),"",(($C13-$F13)*'4. Compliance'!$F$8+($D13-$G13)*'4. Compliance'!$F$9)/(($C$16-$F$16)*'4. Compliance'!$F$8+($D$16-$G$16)*'4. Compliance'!$F$9))</f>
        <v>0</v>
      </c>
      <c r="K13" s="185" t="s">
        <v>190</v>
      </c>
    </row>
    <row r="14" ht="15.0" customHeight="1">
      <c r="A14" s="73" t="s">
        <v>244</v>
      </c>
      <c r="B14" s="68"/>
      <c r="C14" s="96">
        <v>33575.0</v>
      </c>
      <c r="D14" s="96">
        <v>0.0</v>
      </c>
      <c r="E14" s="101">
        <v>0.0</v>
      </c>
      <c r="F14" s="101">
        <v>24668.0</v>
      </c>
      <c r="G14" s="101"/>
      <c r="H14" s="185"/>
      <c r="I14" s="178">
        <f t="shared" si="1"/>
        <v>0.008004585032</v>
      </c>
      <c r="J14" s="178">
        <f>IF(AND(C14="",D14=""),"",(($C14-$F14)*'4. Compliance'!$F$8+($D14-$G14)*'4. Compliance'!$F$9)/(($C$16-$F$16)*'4. Compliance'!$F$8+($D$16-$G$16)*'4. Compliance'!$F$9))</f>
        <v>0.01130940269</v>
      </c>
      <c r="K14" s="185" t="s">
        <v>190</v>
      </c>
    </row>
    <row r="15" ht="15.0" customHeight="1">
      <c r="A15" s="73" t="s">
        <v>247</v>
      </c>
      <c r="B15" s="68"/>
      <c r="C15" s="96">
        <v>0.0</v>
      </c>
      <c r="D15" s="96">
        <v>0.0</v>
      </c>
      <c r="E15" s="101">
        <v>0.0</v>
      </c>
      <c r="F15" s="101">
        <v>0.0</v>
      </c>
      <c r="G15" s="101">
        <v>0.0</v>
      </c>
      <c r="H15" s="185"/>
      <c r="I15" s="178">
        <f t="shared" si="1"/>
        <v>0</v>
      </c>
      <c r="J15" s="178">
        <f>IF(AND(C15="",D15=""),"",(($C15-$F15)*'4. Compliance'!$F$8+($D15-$G15)*'4. Compliance'!$F$9)/(($C$16-$F$16)*'4. Compliance'!$F$8+($D$16-$G$16)*'4. Compliance'!$F$9))</f>
        <v>0</v>
      </c>
      <c r="K15" s="185" t="s">
        <v>190</v>
      </c>
    </row>
    <row r="16" ht="15.0" customHeight="1">
      <c r="A16" s="66" t="s">
        <v>209</v>
      </c>
      <c r="B16" s="68"/>
      <c r="C16" s="107">
        <f t="shared" ref="C16:F16" si="2">IF(SUM(C6:C15)=0,"",SUM(C6:C15))</f>
        <v>7023452.75</v>
      </c>
      <c r="D16" s="107">
        <f t="shared" si="2"/>
        <v>323381</v>
      </c>
      <c r="E16" s="107" t="str">
        <f t="shared" si="2"/>
        <v/>
      </c>
      <c r="F16" s="107">
        <f t="shared" si="2"/>
        <v>6235878</v>
      </c>
      <c r="G16" s="107">
        <f>IF(SUM(G7:G15)=0,"",SUM(G7:G15))</f>
        <v>312286</v>
      </c>
      <c r="H16" s="214" t="str">
        <f>IF(SUM(H6:H15)=0,"",SUM(H6:H15))</f>
        <v/>
      </c>
      <c r="I16" s="178">
        <f t="shared" si="1"/>
        <v>1</v>
      </c>
      <c r="J16" s="178">
        <f>IF(AND(C16="",D16=""),"",(($C16-$F16)*'4. Compliance'!$F$8+($D16-$G16)*'4. Compliance'!$F$9)/(($C$16-$F$16)*'4. Compliance'!$F$8+($D$16-$G$16)*'4. Compliance'!$F$9))</f>
        <v>1</v>
      </c>
      <c r="K16" s="185"/>
    </row>
    <row r="17" ht="15.0" customHeight="1">
      <c r="A17" s="179"/>
      <c r="B17" s="179"/>
      <c r="C17" s="179"/>
      <c r="D17" s="179"/>
      <c r="E17" s="179"/>
      <c r="F17" s="179"/>
      <c r="G17" s="215" t="str">
        <f>IF(J17="","",IF(J17='4. Compliance'!E12-'4. Compliance'!G12,"Aligns with Section 4","Does Not Align with Section 4"))</f>
        <v>Does Not Align with Section 4</v>
      </c>
      <c r="H17" s="216"/>
      <c r="I17" s="127"/>
      <c r="J17" s="217">
        <f>($C$16-$F$16)*'4. Compliance'!$F$8+($D$16-$G$16)*'4. Compliance'!$F$9</f>
        <v>196893.6875</v>
      </c>
      <c r="K17" s="181"/>
    </row>
    <row r="18">
      <c r="A18" s="218"/>
      <c r="B18" s="219"/>
      <c r="C18" s="219"/>
      <c r="D18" s="219"/>
      <c r="E18" s="219"/>
      <c r="F18" s="219"/>
      <c r="G18" s="219"/>
      <c r="H18" s="219"/>
      <c r="I18" s="219"/>
      <c r="J18" s="219"/>
      <c r="K18" s="220"/>
    </row>
    <row r="19">
      <c r="A19" s="62" t="s">
        <v>137</v>
      </c>
      <c r="B19" s="66" t="s">
        <v>302</v>
      </c>
      <c r="C19" s="67"/>
      <c r="D19" s="67"/>
      <c r="E19" s="67"/>
      <c r="F19" s="67"/>
      <c r="G19" s="67"/>
      <c r="H19" s="67"/>
      <c r="I19" s="67"/>
      <c r="J19" s="67"/>
      <c r="K19" s="68"/>
    </row>
    <row r="20">
      <c r="A20" s="221" t="s">
        <v>345</v>
      </c>
      <c r="B20" s="45"/>
      <c r="C20" s="45"/>
      <c r="D20" s="45"/>
      <c r="E20" s="45"/>
      <c r="F20" s="45"/>
      <c r="G20" s="45"/>
      <c r="H20" s="45"/>
      <c r="I20" s="45"/>
      <c r="J20" s="45"/>
      <c r="K20" s="46"/>
    </row>
    <row r="21" ht="15.75" customHeight="1">
      <c r="A21" s="47"/>
      <c r="K21" s="48"/>
    </row>
    <row r="22" ht="15.75" customHeight="1">
      <c r="A22" s="47"/>
      <c r="K22" s="48"/>
    </row>
    <row r="23" ht="15.75" customHeight="1">
      <c r="A23" s="47"/>
      <c r="K23" s="48"/>
    </row>
    <row r="24" ht="15.75" customHeight="1">
      <c r="A24" s="47"/>
      <c r="K24" s="48"/>
    </row>
    <row r="25" ht="15.75" customHeight="1">
      <c r="A25" s="47"/>
      <c r="K25" s="48"/>
    </row>
    <row r="26" ht="15.75" customHeight="1">
      <c r="A26" s="47"/>
      <c r="K26" s="48"/>
    </row>
    <row r="27" ht="15.75" customHeight="1">
      <c r="A27" s="47"/>
      <c r="K27" s="48"/>
    </row>
    <row r="28" ht="15.75" customHeight="1">
      <c r="A28" s="47"/>
      <c r="K28" s="48"/>
    </row>
    <row r="29" ht="15.75" customHeight="1">
      <c r="A29" s="47"/>
      <c r="K29" s="48"/>
    </row>
    <row r="30" ht="15.75" customHeight="1">
      <c r="A30" s="47"/>
      <c r="K30" s="48"/>
    </row>
    <row r="31" ht="15.75" customHeight="1">
      <c r="A31" s="47"/>
      <c r="K31" s="48"/>
    </row>
    <row r="32" ht="15.75" customHeight="1">
      <c r="A32" s="47"/>
      <c r="K32" s="48"/>
    </row>
    <row r="33" ht="15.75" customHeight="1">
      <c r="A33" s="47"/>
      <c r="K33" s="48"/>
    </row>
    <row r="34" ht="15.75" customHeight="1">
      <c r="A34" s="47"/>
      <c r="K34" s="48"/>
    </row>
    <row r="35" ht="15.75" customHeight="1">
      <c r="A35" s="47"/>
      <c r="K35" s="48"/>
    </row>
    <row r="36" ht="15.75" customHeight="1">
      <c r="A36" s="47"/>
      <c r="K36" s="48"/>
    </row>
    <row r="37" ht="15.75" customHeight="1">
      <c r="A37" s="47"/>
      <c r="K37" s="48"/>
    </row>
    <row r="38" ht="15.75" customHeight="1">
      <c r="A38" s="47"/>
      <c r="K38" s="48"/>
    </row>
    <row r="39" ht="15.75" customHeight="1">
      <c r="A39" s="47"/>
      <c r="K39" s="48"/>
    </row>
    <row r="40" ht="15.75" customHeight="1">
      <c r="A40" s="47"/>
      <c r="K40" s="48"/>
    </row>
    <row r="41" ht="15.75" customHeight="1">
      <c r="A41" s="47"/>
      <c r="K41" s="48"/>
    </row>
    <row r="42" ht="15.75" customHeight="1">
      <c r="A42" s="47"/>
      <c r="K42" s="48"/>
    </row>
    <row r="43" ht="15.75" customHeight="1">
      <c r="A43" s="47"/>
      <c r="K43" s="48"/>
    </row>
    <row r="44" ht="15.75" customHeight="1">
      <c r="A44" s="47"/>
      <c r="K44" s="48"/>
    </row>
    <row r="45" ht="15.75" customHeight="1">
      <c r="A45" s="49"/>
      <c r="B45" s="50"/>
      <c r="C45" s="50"/>
      <c r="D45" s="50"/>
      <c r="E45" s="50"/>
      <c r="F45" s="50"/>
      <c r="G45" s="50"/>
      <c r="H45" s="50"/>
      <c r="I45" s="50"/>
      <c r="J45" s="50"/>
      <c r="K45" s="5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3:K3"/>
    <mergeCell ref="A4:B4"/>
    <mergeCell ref="C4:E4"/>
    <mergeCell ref="F4:J4"/>
    <mergeCell ref="A5:B5"/>
    <mergeCell ref="A6:B6"/>
    <mergeCell ref="A7:B7"/>
    <mergeCell ref="A15:B15"/>
    <mergeCell ref="A16:B16"/>
    <mergeCell ref="G17:I17"/>
    <mergeCell ref="B19:K19"/>
    <mergeCell ref="A20:K45"/>
    <mergeCell ref="A8:B8"/>
    <mergeCell ref="A9:B9"/>
    <mergeCell ref="A10:B10"/>
    <mergeCell ref="A11:B11"/>
    <mergeCell ref="A12:B12"/>
    <mergeCell ref="A13:B13"/>
    <mergeCell ref="A14:B14"/>
  </mergeCells>
  <printOptions/>
  <pageMargins bottom="0.75" footer="0.0" header="0.0" left="0.7" right="0.7" top="0.75"/>
  <pageSetup scale="84" orientation="portrait"/>
  <headerFooter>
    <oddFooter>&amp;RAugust 2019</oddFooter>
  </headerFoo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6.0"/>
    <col customWidth="1" min="3" max="3" width="6.71"/>
    <col customWidth="1" min="4" max="4" width="1.57"/>
    <col customWidth="1" min="5" max="6" width="10.71"/>
    <col customWidth="1" min="7" max="7" width="7.14"/>
    <col customWidth="1" min="8" max="9" width="10.71"/>
    <col customWidth="1" min="10" max="10" width="7.14"/>
    <col customWidth="1" min="11" max="11" width="9.43"/>
    <col customWidth="1" min="12" max="26" width="8.71"/>
  </cols>
  <sheetData>
    <row r="3" ht="15.75" customHeight="1">
      <c r="A3" s="186" t="s">
        <v>297</v>
      </c>
      <c r="B3" s="187" t="s">
        <v>298</v>
      </c>
      <c r="C3" s="67"/>
      <c r="D3" s="67"/>
      <c r="E3" s="67"/>
      <c r="F3" s="67"/>
      <c r="G3" s="67"/>
      <c r="H3" s="67"/>
      <c r="I3" s="67"/>
      <c r="J3" s="67"/>
      <c r="K3" s="67"/>
      <c r="L3" s="68"/>
    </row>
    <row r="4" ht="15.75" customHeight="1">
      <c r="A4" s="69" t="str">
        <f>CONCATENATE("Compliance based on ",IF(Path="","",Path))</f>
        <v>Compliance based on Appendix G PRM</v>
      </c>
      <c r="B4" s="67"/>
      <c r="C4" s="67"/>
      <c r="D4" s="67"/>
      <c r="E4" s="67"/>
      <c r="F4" s="67"/>
      <c r="G4" s="67"/>
      <c r="H4" s="67"/>
      <c r="I4" s="67"/>
      <c r="J4" s="67"/>
      <c r="K4" s="67"/>
      <c r="L4" s="68"/>
    </row>
    <row r="5" ht="22.5" customHeight="1">
      <c r="A5" s="190"/>
      <c r="B5" s="45"/>
      <c r="C5" s="45"/>
      <c r="D5" s="46"/>
      <c r="E5" s="75" t="s">
        <v>299</v>
      </c>
      <c r="F5" s="67"/>
      <c r="G5" s="68"/>
      <c r="H5" s="190" t="s">
        <v>301</v>
      </c>
      <c r="I5" s="45"/>
      <c r="J5" s="46"/>
      <c r="K5" s="191" t="s">
        <v>183</v>
      </c>
      <c r="L5" s="191" t="s">
        <v>184</v>
      </c>
      <c r="M5" s="120"/>
      <c r="N5" s="120"/>
      <c r="O5" s="120"/>
      <c r="P5" s="120"/>
      <c r="Q5" s="120"/>
      <c r="R5" s="120"/>
      <c r="S5" s="120"/>
      <c r="T5" s="120"/>
      <c r="U5" s="120"/>
      <c r="V5" s="120"/>
      <c r="W5" s="120"/>
      <c r="X5" s="120"/>
      <c r="Y5" s="120"/>
      <c r="Z5" s="120"/>
    </row>
    <row r="6" ht="22.5" customHeight="1">
      <c r="A6" s="49"/>
      <c r="B6" s="50"/>
      <c r="C6" s="50"/>
      <c r="D6" s="51"/>
      <c r="E6" s="193" t="s">
        <v>278</v>
      </c>
      <c r="F6" s="67"/>
      <c r="G6" s="68"/>
      <c r="H6" s="49"/>
      <c r="I6" s="50"/>
      <c r="J6" s="51"/>
      <c r="K6" s="194"/>
      <c r="L6" s="194"/>
      <c r="M6" s="120"/>
      <c r="N6" s="120"/>
      <c r="O6" s="120"/>
      <c r="P6" s="120"/>
      <c r="Q6" s="120"/>
      <c r="R6" s="120"/>
      <c r="S6" s="120"/>
      <c r="T6" s="120"/>
      <c r="U6" s="120"/>
      <c r="V6" s="120"/>
      <c r="W6" s="120"/>
      <c r="X6" s="120"/>
      <c r="Y6" s="120"/>
      <c r="Z6" s="120"/>
    </row>
    <row r="7" ht="23.25" customHeight="1">
      <c r="A7" s="190" t="s">
        <v>305</v>
      </c>
      <c r="B7" s="46"/>
      <c r="C7" s="190" t="s">
        <v>306</v>
      </c>
      <c r="D7" s="46"/>
      <c r="E7" s="191" t="s">
        <v>308</v>
      </c>
      <c r="F7" s="75" t="s">
        <v>310</v>
      </c>
      <c r="G7" s="68"/>
      <c r="H7" s="191" t="s">
        <v>311</v>
      </c>
      <c r="I7" s="75" t="s">
        <v>310</v>
      </c>
      <c r="J7" s="68"/>
      <c r="K7" s="194"/>
      <c r="L7" s="194"/>
      <c r="M7" s="120"/>
      <c r="N7" s="120"/>
      <c r="O7" s="120"/>
      <c r="P7" s="120"/>
      <c r="Q7" s="120"/>
      <c r="R7" s="120"/>
      <c r="S7" s="120"/>
      <c r="T7" s="120"/>
      <c r="U7" s="120"/>
      <c r="V7" s="120"/>
      <c r="W7" s="120"/>
      <c r="X7" s="120"/>
      <c r="Y7" s="120"/>
      <c r="Z7" s="120"/>
    </row>
    <row r="8">
      <c r="A8" s="47"/>
      <c r="B8" s="48"/>
      <c r="C8" s="49"/>
      <c r="D8" s="51"/>
      <c r="E8" s="198"/>
      <c r="F8" s="84" t="s">
        <v>312</v>
      </c>
      <c r="G8" s="84" t="s">
        <v>313</v>
      </c>
      <c r="H8" s="198"/>
      <c r="I8" s="84" t="s">
        <v>314</v>
      </c>
      <c r="J8" s="84" t="s">
        <v>313</v>
      </c>
      <c r="K8" s="198"/>
      <c r="L8" s="198"/>
      <c r="M8" s="120"/>
      <c r="N8" s="120"/>
      <c r="O8" s="120"/>
      <c r="P8" s="120"/>
      <c r="Q8" s="120"/>
      <c r="R8" s="120"/>
      <c r="S8" s="120"/>
      <c r="T8" s="120"/>
      <c r="U8" s="120"/>
      <c r="V8" s="120"/>
      <c r="W8" s="120"/>
      <c r="X8" s="120"/>
      <c r="Y8" s="120"/>
      <c r="Z8" s="120"/>
    </row>
    <row r="9" ht="15.0" customHeight="1">
      <c r="A9" s="47"/>
      <c r="B9" s="48"/>
      <c r="C9" s="75" t="s">
        <v>316</v>
      </c>
      <c r="D9" s="68"/>
      <c r="E9" s="199">
        <v>1800.479</v>
      </c>
      <c r="F9" s="199">
        <v>667.147</v>
      </c>
      <c r="G9" s="200">
        <f t="shared" ref="G9:G13" si="1">IF(AND(E9="",F9=""),"",F9/E9*100)</f>
        <v>37.05386178</v>
      </c>
      <c r="H9" s="199">
        <v>1800.479</v>
      </c>
      <c r="I9" s="199">
        <v>1078.436</v>
      </c>
      <c r="J9" s="200">
        <f t="shared" ref="J9:J13" si="2">IF(AND(H9="",I9=""),"",I9/H9*100)</f>
        <v>59.89717181</v>
      </c>
      <c r="K9" s="201" t="s">
        <v>318</v>
      </c>
      <c r="L9" s="112" t="s">
        <v>319</v>
      </c>
      <c r="M9" s="120"/>
      <c r="N9" s="120"/>
      <c r="O9" s="120"/>
      <c r="P9" s="120"/>
      <c r="Q9" s="120"/>
      <c r="R9" s="120"/>
      <c r="S9" s="120"/>
      <c r="T9" s="120"/>
      <c r="U9" s="120"/>
      <c r="V9" s="120"/>
      <c r="W9" s="120"/>
      <c r="X9" s="120"/>
      <c r="Y9" s="120"/>
      <c r="Z9" s="120"/>
    </row>
    <row r="10" ht="15.0" customHeight="1">
      <c r="A10" s="47"/>
      <c r="B10" s="48"/>
      <c r="C10" s="75" t="s">
        <v>322</v>
      </c>
      <c r="D10" s="68"/>
      <c r="E10" s="199">
        <v>3209.583</v>
      </c>
      <c r="F10" s="199">
        <v>22.712</v>
      </c>
      <c r="G10" s="200">
        <f t="shared" si="1"/>
        <v>0.7076308667</v>
      </c>
      <c r="H10" s="199">
        <v>3209.583</v>
      </c>
      <c r="I10" s="199">
        <v>48.653</v>
      </c>
      <c r="J10" s="200">
        <f t="shared" si="2"/>
        <v>1.515866703</v>
      </c>
      <c r="K10" s="201" t="s">
        <v>318</v>
      </c>
      <c r="L10" s="112" t="s">
        <v>319</v>
      </c>
      <c r="M10" s="120"/>
      <c r="N10" s="120"/>
      <c r="O10" s="120"/>
      <c r="P10" s="120"/>
      <c r="Q10" s="120"/>
      <c r="R10" s="120"/>
      <c r="S10" s="120"/>
      <c r="T10" s="120"/>
      <c r="U10" s="120"/>
      <c r="V10" s="120"/>
      <c r="W10" s="120"/>
      <c r="X10" s="120"/>
      <c r="Y10" s="120"/>
      <c r="Z10" s="120"/>
    </row>
    <row r="11" ht="15.0" customHeight="1">
      <c r="A11" s="47"/>
      <c r="B11" s="48"/>
      <c r="C11" s="75" t="s">
        <v>323</v>
      </c>
      <c r="D11" s="68"/>
      <c r="E11" s="199">
        <v>1821.899</v>
      </c>
      <c r="F11" s="199">
        <v>784.151</v>
      </c>
      <c r="G11" s="200">
        <f t="shared" si="1"/>
        <v>43.04031124</v>
      </c>
      <c r="H11" s="199">
        <v>1821.899</v>
      </c>
      <c r="I11" s="199">
        <v>1053.464</v>
      </c>
      <c r="J11" s="200">
        <f t="shared" si="2"/>
        <v>57.82230519</v>
      </c>
      <c r="K11" s="201" t="s">
        <v>318</v>
      </c>
      <c r="L11" s="112" t="s">
        <v>319</v>
      </c>
      <c r="M11" s="120"/>
      <c r="N11" s="120"/>
      <c r="O11" s="120"/>
      <c r="P11" s="120"/>
      <c r="Q11" s="120"/>
      <c r="R11" s="120"/>
      <c r="S11" s="120"/>
      <c r="T11" s="120"/>
      <c r="U11" s="120"/>
      <c r="V11" s="120"/>
      <c r="W11" s="120"/>
      <c r="X11" s="120"/>
      <c r="Y11" s="120"/>
      <c r="Z11" s="120"/>
    </row>
    <row r="12" ht="15.0" customHeight="1">
      <c r="A12" s="47"/>
      <c r="B12" s="48"/>
      <c r="C12" s="75" t="s">
        <v>326</v>
      </c>
      <c r="D12" s="68"/>
      <c r="E12" s="199">
        <v>3466.517</v>
      </c>
      <c r="F12" s="199">
        <v>35.951</v>
      </c>
      <c r="G12" s="200">
        <f t="shared" si="1"/>
        <v>1.037092851</v>
      </c>
      <c r="H12" s="199">
        <v>3466.517</v>
      </c>
      <c r="I12" s="199">
        <v>81.59</v>
      </c>
      <c r="J12" s="200">
        <f t="shared" si="2"/>
        <v>2.353659307</v>
      </c>
      <c r="K12" s="201" t="s">
        <v>318</v>
      </c>
      <c r="L12" s="112" t="s">
        <v>319</v>
      </c>
      <c r="M12" s="120"/>
      <c r="N12" s="120"/>
      <c r="O12" s="120"/>
      <c r="P12" s="120"/>
      <c r="Q12" s="120"/>
      <c r="R12" s="120"/>
      <c r="S12" s="120"/>
      <c r="T12" s="120"/>
      <c r="U12" s="120"/>
      <c r="V12" s="120"/>
      <c r="W12" s="120"/>
      <c r="X12" s="120"/>
      <c r="Y12" s="120"/>
      <c r="Z12" s="120"/>
    </row>
    <row r="13" ht="15.0" customHeight="1">
      <c r="A13" s="49"/>
      <c r="B13" s="51"/>
      <c r="C13" s="69" t="s">
        <v>328</v>
      </c>
      <c r="D13" s="68"/>
      <c r="E13" s="205">
        <f t="shared" ref="E13:F13" si="3">IF(SUM(E9:E12)=0,"",SUM(E9:E12))</f>
        <v>10298.478</v>
      </c>
      <c r="F13" s="205">
        <f t="shared" si="3"/>
        <v>1509.961</v>
      </c>
      <c r="G13" s="200">
        <f t="shared" si="1"/>
        <v>14.66198209</v>
      </c>
      <c r="H13" s="205">
        <f t="shared" ref="H13:I13" si="4">IF(SUM(H9:H12)=0,"",SUM(H9:H12))</f>
        <v>10298.478</v>
      </c>
      <c r="I13" s="205">
        <f t="shared" si="4"/>
        <v>2262.143</v>
      </c>
      <c r="J13" s="200">
        <f t="shared" si="2"/>
        <v>21.96579922</v>
      </c>
      <c r="K13" s="201" t="s">
        <v>318</v>
      </c>
      <c r="L13" s="112" t="s">
        <v>319</v>
      </c>
    </row>
    <row r="14" ht="22.5" customHeight="1">
      <c r="A14" s="190" t="s">
        <v>331</v>
      </c>
      <c r="B14" s="46"/>
      <c r="C14" s="190" t="s">
        <v>332</v>
      </c>
      <c r="D14" s="45"/>
      <c r="E14" s="46"/>
      <c r="F14" s="75" t="s">
        <v>333</v>
      </c>
      <c r="G14" s="68"/>
      <c r="H14" s="191" t="s">
        <v>334</v>
      </c>
      <c r="I14" s="75" t="s">
        <v>333</v>
      </c>
      <c r="J14" s="68"/>
      <c r="K14" s="191" t="s">
        <v>183</v>
      </c>
      <c r="L14" s="191" t="s">
        <v>184</v>
      </c>
    </row>
    <row r="15" ht="15.0" customHeight="1">
      <c r="A15" s="47"/>
      <c r="B15" s="48"/>
      <c r="C15" s="49"/>
      <c r="D15" s="50"/>
      <c r="E15" s="51"/>
      <c r="F15" s="84" t="s">
        <v>335</v>
      </c>
      <c r="G15" s="84" t="s">
        <v>313</v>
      </c>
      <c r="H15" s="198"/>
      <c r="I15" s="84" t="s">
        <v>337</v>
      </c>
      <c r="J15" s="84" t="s">
        <v>313</v>
      </c>
      <c r="K15" s="198"/>
      <c r="L15" s="198"/>
    </row>
    <row r="16" ht="15.0" customHeight="1">
      <c r="A16" s="49"/>
      <c r="B16" s="51"/>
      <c r="C16" s="69" t="s">
        <v>328</v>
      </c>
      <c r="D16" s="68"/>
      <c r="E16" s="212">
        <v>2126.303</v>
      </c>
      <c r="F16" s="213">
        <v>0.0</v>
      </c>
      <c r="G16" s="200">
        <f>IF(AND(E16="",F16=""),"",F16/E16*100)</f>
        <v>0</v>
      </c>
      <c r="H16" s="212">
        <v>2126.303</v>
      </c>
      <c r="I16" s="201">
        <v>0.0</v>
      </c>
      <c r="J16" s="200">
        <f>IF(AND(H16="",I16=""),"",I16/H16*100)</f>
        <v>0</v>
      </c>
      <c r="K16" s="201" t="s">
        <v>339</v>
      </c>
      <c r="L16" s="112" t="s">
        <v>340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E6:G6"/>
    <mergeCell ref="F7:G7"/>
    <mergeCell ref="F14:G14"/>
    <mergeCell ref="H14:H15"/>
    <mergeCell ref="I14:J14"/>
    <mergeCell ref="K14:K15"/>
    <mergeCell ref="L14:L15"/>
    <mergeCell ref="H5:J6"/>
    <mergeCell ref="I7:J7"/>
    <mergeCell ref="B3:L3"/>
    <mergeCell ref="A4:L4"/>
    <mergeCell ref="E5:G5"/>
    <mergeCell ref="K5:K8"/>
    <mergeCell ref="L5:L8"/>
    <mergeCell ref="E7:E8"/>
    <mergeCell ref="H7:H8"/>
    <mergeCell ref="A7:B13"/>
    <mergeCell ref="A14:B16"/>
    <mergeCell ref="C14:E15"/>
    <mergeCell ref="C16:D16"/>
    <mergeCell ref="A5:D6"/>
    <mergeCell ref="C7:D8"/>
    <mergeCell ref="C9:D9"/>
    <mergeCell ref="C10:D10"/>
    <mergeCell ref="C11:D11"/>
    <mergeCell ref="C12:D12"/>
    <mergeCell ref="C13:D13"/>
  </mergeCells>
  <conditionalFormatting sqref="E13">
    <cfRule type="cellIs" dxfId="1" priority="1" operator="notEqual">
      <formula>$H$13</formula>
    </cfRule>
  </conditionalFormatting>
  <conditionalFormatting sqref="G13">
    <cfRule type="expression" dxfId="1" priority="2">
      <formula>"&gt;3.0"</formula>
    </cfRule>
  </conditionalFormatting>
  <conditionalFormatting sqref="G13">
    <cfRule type="containsBlanks" dxfId="2" priority="3">
      <formula>LEN(TRIM(G13))=0</formula>
    </cfRule>
  </conditionalFormatting>
  <conditionalFormatting sqref="G16">
    <cfRule type="containsBlanks" dxfId="2" priority="4">
      <formula>LEN(TRIM(G16))=0</formula>
    </cfRule>
  </conditionalFormatting>
  <conditionalFormatting sqref="G16">
    <cfRule type="cellIs" dxfId="1" priority="5" operator="greaterThan">
      <formula>3</formula>
    </cfRule>
  </conditionalFormatting>
  <conditionalFormatting sqref="L16">
    <cfRule type="containsBlanks" dxfId="0" priority="6">
      <formula>LEN(TRIM(L16))=0</formula>
    </cfRule>
  </conditionalFormatting>
  <conditionalFormatting sqref="K9:L13 K16:L16">
    <cfRule type="containsBlanks" dxfId="0" priority="7">
      <formula>LEN(TRIM(K9))=0</formula>
    </cfRule>
  </conditionalFormatting>
  <conditionalFormatting sqref="K16:L16">
    <cfRule type="containsBlanks" dxfId="0" priority="8">
      <formula>LEN(TRIM(K16))=0</formula>
    </cfRule>
  </conditionalFormatting>
  <conditionalFormatting sqref="L9:L13 L16">
    <cfRule type="containsBlanks" dxfId="0" priority="9">
      <formula>LEN(TRIM(L9))=0</formula>
    </cfRule>
  </conditionalFormatting>
  <conditionalFormatting sqref="E16:F16">
    <cfRule type="containsBlanks" dxfId="0" priority="10">
      <formula>LEN(TRIM(E16))=0</formula>
    </cfRule>
  </conditionalFormatting>
  <conditionalFormatting sqref="E16">
    <cfRule type="cellIs" dxfId="1" priority="11" operator="notEqual">
      <formula>$H$16</formula>
    </cfRule>
  </conditionalFormatting>
  <conditionalFormatting sqref="E16">
    <cfRule type="expression" dxfId="1" priority="12">
      <formula>"$H$15&lt;&gt;$E$15"</formula>
    </cfRule>
  </conditionalFormatting>
  <conditionalFormatting sqref="H16:I16">
    <cfRule type="containsBlanks" dxfId="0" priority="13">
      <formula>LEN(TRIM(H16))=0</formula>
    </cfRule>
  </conditionalFormatting>
  <conditionalFormatting sqref="H9:I12">
    <cfRule type="containsBlanks" dxfId="0" priority="14">
      <formula>LEN(TRIM(H9))=0</formula>
    </cfRule>
  </conditionalFormatting>
  <conditionalFormatting sqref="E9:F10 F11:F12">
    <cfRule type="containsBlanks" dxfId="0" priority="15">
      <formula>LEN(TRIM(E9))=0</formula>
    </cfRule>
  </conditionalFormatting>
  <conditionalFormatting sqref="E9">
    <cfRule type="cellIs" dxfId="1" priority="16" operator="notEqual">
      <formula>$H$9</formula>
    </cfRule>
  </conditionalFormatting>
  <conditionalFormatting sqref="E10">
    <cfRule type="cellIs" dxfId="1" priority="17" operator="notEqual">
      <formula>$H$10</formula>
    </cfRule>
  </conditionalFormatting>
  <conditionalFormatting sqref="E11">
    <cfRule type="cellIs" dxfId="1" priority="18" operator="notEqual">
      <formula>$H$11</formula>
    </cfRule>
  </conditionalFormatting>
  <conditionalFormatting sqref="E11">
    <cfRule type="containsBlanks" dxfId="0" priority="19">
      <formula>LEN(TRIM(E11))=0</formula>
    </cfRule>
  </conditionalFormatting>
  <conditionalFormatting sqref="E12">
    <cfRule type="cellIs" dxfId="1" priority="20" operator="notEqual">
      <formula>$H$12</formula>
    </cfRule>
  </conditionalFormatting>
  <conditionalFormatting sqref="E12">
    <cfRule type="containsBlanks" dxfId="0" priority="21">
      <formula>LEN(TRIM(E12))=0</formula>
    </cfRule>
  </conditionalFormatting>
  <dataValidations>
    <dataValidation type="list" allowBlank="1" showErrorMessage="1" sqref="E6">
      <formula1>Lists!$M$28:$M$44</formula1>
    </dataValidation>
  </dataValidations>
  <printOptions/>
  <pageMargins bottom="0.75" footer="0.0" header="0.0" left="0.7" right="0.7" top="0.75"/>
  <pageSetup scale="97" orientation="portrait"/>
  <headerFooter>
    <oddFooter>&amp;LVersion 7&amp;RAugust 2023</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5.29"/>
    <col customWidth="1" min="3" max="3" width="10.57"/>
    <col customWidth="1" min="4" max="4" width="2.57"/>
    <col customWidth="1" min="5" max="5" width="17.43"/>
    <col customWidth="1" min="6" max="7" width="6.71"/>
    <col customWidth="1" min="8" max="8" width="5.71"/>
    <col customWidth="1" min="9" max="9" width="10.71"/>
    <col customWidth="1" min="10" max="10" width="5.57"/>
    <col customWidth="1" min="11" max="12" width="5.71"/>
    <col customWidth="1" min="13" max="13" width="8.57"/>
    <col customWidth="1" min="14" max="14" width="14.86"/>
    <col customWidth="1" min="15" max="15" width="15.14"/>
    <col customWidth="1" min="16" max="26" width="8.71"/>
  </cols>
  <sheetData>
    <row r="3" ht="15.75" customHeight="1">
      <c r="A3" s="87" t="s">
        <v>347</v>
      </c>
      <c r="B3" s="225" t="s">
        <v>348</v>
      </c>
      <c r="C3" s="67"/>
      <c r="D3" s="67"/>
      <c r="E3" s="67"/>
      <c r="F3" s="67"/>
      <c r="G3" s="67"/>
      <c r="H3" s="67"/>
      <c r="I3" s="67"/>
      <c r="J3" s="67"/>
      <c r="K3" s="67"/>
      <c r="L3" s="67"/>
      <c r="M3" s="67"/>
      <c r="N3" s="67"/>
      <c r="O3" s="68"/>
    </row>
    <row r="4" ht="15.75" customHeight="1">
      <c r="A4" s="225" t="str">
        <f>CONCATENATE("Compliance based on ",IF(Path="","",Path))</f>
        <v>Compliance based on Appendix G PRM</v>
      </c>
      <c r="B4" s="67"/>
      <c r="C4" s="67"/>
      <c r="D4" s="67"/>
      <c r="E4" s="67"/>
      <c r="F4" s="67"/>
      <c r="G4" s="67"/>
      <c r="H4" s="67"/>
      <c r="I4" s="67"/>
      <c r="J4" s="67"/>
      <c r="K4" s="67"/>
      <c r="L4" s="67"/>
      <c r="M4" s="67"/>
      <c r="N4" s="67"/>
      <c r="O4" s="68"/>
    </row>
    <row r="5" ht="22.5" customHeight="1">
      <c r="A5" s="226" t="s">
        <v>349</v>
      </c>
      <c r="B5" s="46"/>
      <c r="C5" s="227" t="s">
        <v>350</v>
      </c>
      <c r="D5" s="228"/>
      <c r="E5" s="124" t="s">
        <v>299</v>
      </c>
      <c r="F5" s="67"/>
      <c r="G5" s="67"/>
      <c r="H5" s="68"/>
      <c r="I5" s="124" t="s">
        <v>301</v>
      </c>
      <c r="J5" s="67"/>
      <c r="K5" s="67"/>
      <c r="L5" s="67"/>
      <c r="M5" s="68"/>
      <c r="N5" s="227" t="s">
        <v>183</v>
      </c>
      <c r="O5" s="227" t="s">
        <v>184</v>
      </c>
      <c r="P5" s="120"/>
      <c r="Q5" s="120"/>
      <c r="R5" s="120"/>
      <c r="S5" s="120"/>
      <c r="T5" s="120"/>
      <c r="U5" s="120"/>
      <c r="V5" s="120"/>
      <c r="W5" s="120"/>
      <c r="X5" s="120"/>
      <c r="Y5" s="120"/>
      <c r="Z5" s="120"/>
    </row>
    <row r="6">
      <c r="A6" s="49"/>
      <c r="B6" s="51"/>
      <c r="C6" s="198"/>
      <c r="D6" s="229" t="s">
        <v>351</v>
      </c>
      <c r="E6" s="228" t="s">
        <v>352</v>
      </c>
      <c r="F6" s="228" t="s">
        <v>353</v>
      </c>
      <c r="G6" s="228" t="s">
        <v>354</v>
      </c>
      <c r="H6" s="228" t="s">
        <v>355</v>
      </c>
      <c r="I6" s="230" t="s">
        <v>356</v>
      </c>
      <c r="J6" s="230" t="s">
        <v>353</v>
      </c>
      <c r="K6" s="230" t="s">
        <v>354</v>
      </c>
      <c r="L6" s="230" t="s">
        <v>355</v>
      </c>
      <c r="M6" s="230" t="s">
        <v>357</v>
      </c>
      <c r="N6" s="198"/>
      <c r="O6" s="198"/>
      <c r="P6" s="120"/>
      <c r="Q6" s="120"/>
      <c r="R6" s="120"/>
      <c r="S6" s="120"/>
      <c r="T6" s="120"/>
      <c r="U6" s="120"/>
      <c r="V6" s="120"/>
      <c r="W6" s="120"/>
      <c r="X6" s="120"/>
      <c r="Y6" s="120"/>
      <c r="Z6" s="120"/>
    </row>
    <row r="7" ht="24.0" customHeight="1">
      <c r="A7" s="124" t="s">
        <v>360</v>
      </c>
      <c r="B7" s="68"/>
      <c r="C7" s="232" t="s">
        <v>361</v>
      </c>
      <c r="D7" s="228">
        <v>1.0</v>
      </c>
      <c r="E7" s="232" t="s">
        <v>362</v>
      </c>
      <c r="F7" s="238" t="str">
        <f t="array" ref="F7">IF(C7="","",IF(E7="","",IF('4. Compliance'!$B$4="Section 11 ECB",INDEX(Lists!$A$4:$D$11,(MATCH($E7,Lists!$A$4:$A$11,0)),(MATCH($C7,Lists!$A$4:$D$4,0))),INDEX(Lists!$F$4:$I$11,(MATCH($E7,Lists!$F$4:$F$11,0)),(MATCH($C7,Lists!$F$4:$I$4,0))))))</f>
        <v>U-0.57</v>
      </c>
      <c r="G7" s="239">
        <f t="array" ref="G7">IF(C7="","",IF(E7="","",IF('4. Compliance'!$B$4="Section 11 ECB",INDEX(Lists!$A$13:$D$20,(MATCH($E7,Lists!$A$13:$A$20,0)),(MATCH($C7,Lists!$A$13:$D$13,0))),INDEX(Lists!$F$13:$I$20,(MATCH($E7,Lists!$F$13:$F$20,0)),(MATCH($C7,Lists!$F$13:$I$13,0))))))</f>
        <v>0.39</v>
      </c>
      <c r="H7" s="239">
        <f t="shared" ref="H7:H20" si="1">IF(L7="","",L7)</f>
        <v>0.452</v>
      </c>
      <c r="I7" s="240" t="s">
        <v>371</v>
      </c>
      <c r="J7" s="240">
        <v>0.3</v>
      </c>
      <c r="K7" s="240">
        <v>0.3</v>
      </c>
      <c r="L7" s="240">
        <v>0.452</v>
      </c>
      <c r="M7" s="241">
        <v>0.219657992180981</v>
      </c>
      <c r="N7" s="240" t="s">
        <v>372</v>
      </c>
      <c r="O7" s="112" t="s">
        <v>319</v>
      </c>
      <c r="P7" s="120"/>
      <c r="Q7" s="120"/>
      <c r="R7" s="120"/>
      <c r="S7" s="120"/>
      <c r="T7" s="120"/>
      <c r="U7" s="120"/>
      <c r="V7" s="120"/>
      <c r="W7" s="120"/>
      <c r="X7" s="120"/>
      <c r="Y7" s="120"/>
      <c r="Z7" s="120"/>
    </row>
    <row r="8" ht="24.0" customHeight="1">
      <c r="A8" s="124" t="s">
        <v>360</v>
      </c>
      <c r="B8" s="68"/>
      <c r="C8" s="232"/>
      <c r="D8" s="228">
        <v>2.0</v>
      </c>
      <c r="E8" s="232"/>
      <c r="F8" s="238" t="str">
        <f t="array" ref="F8">IF(C8="","",IF(E8="","",IF('4. Compliance'!$B$4="Section 11 ECB",INDEX(Lists!$A$4:$D$11,(MATCH($E8,Lists!$A$4:$A$11,0)),(MATCH($C8,Lists!$A$4:$D$4,0))),INDEX(Lists!$F$4:$I$11,(MATCH($E8,Lists!$F$4:$F$11,0)),(MATCH($C8,Lists!$F$4:$I$4,0))))))</f>
        <v/>
      </c>
      <c r="G8" s="239" t="str">
        <f t="array" ref="G8">IF(C8="","",IF(E8="","",IF('4. Compliance'!$B$4="Section 11 ECB",INDEX(Lists!$A$13:$D$20,(MATCH($E8,Lists!$A$13:$A$20,0)),(MATCH($C8,Lists!$A$13:$D$13,0))),INDEX(Lists!$F$13:$I$20,(MATCH($E8,Lists!$F$13:$F$20,0)),(MATCH($C8,Lists!$F$13:$I$13,0))))))</f>
        <v/>
      </c>
      <c r="H8" s="239" t="str">
        <f t="shared" si="1"/>
        <v/>
      </c>
      <c r="I8" s="112"/>
      <c r="J8" s="112"/>
      <c r="K8" s="112"/>
      <c r="L8" s="112"/>
      <c r="M8" s="246"/>
      <c r="N8" s="112"/>
      <c r="O8" s="112"/>
      <c r="P8" s="120"/>
      <c r="Q8" s="120"/>
      <c r="R8" s="120"/>
      <c r="S8" s="120"/>
      <c r="T8" s="120"/>
      <c r="U8" s="120"/>
      <c r="V8" s="120"/>
      <c r="W8" s="120"/>
      <c r="X8" s="120"/>
      <c r="Y8" s="120"/>
      <c r="Z8" s="120"/>
    </row>
    <row r="9" ht="24.0" customHeight="1">
      <c r="A9" s="124" t="s">
        <v>360</v>
      </c>
      <c r="B9" s="68"/>
      <c r="C9" s="232"/>
      <c r="D9" s="228">
        <v>3.0</v>
      </c>
      <c r="E9" s="232"/>
      <c r="F9" s="238" t="str">
        <f t="array" ref="F9">IF(C9="","",IF(E9="","",IF('4. Compliance'!$B$4="Section 11 ECB",INDEX(Lists!$A$4:$D$11,(MATCH($E9,Lists!$A$4:$A$11,0)),(MATCH($C9,Lists!$A$4:$D$4,0))),INDEX(Lists!$F$4:$I$11,(MATCH($E9,Lists!$F$4:$F$11,0)),(MATCH($C9,Lists!$F$4:$I$4,0))))))</f>
        <v/>
      </c>
      <c r="G9" s="239" t="str">
        <f t="array" ref="G9">IF(C9="","",IF(E9="","",IF('4. Compliance'!$B$4="Section 11 ECB",INDEX(Lists!$A$13:$D$20,(MATCH($E9,Lists!$A$13:$A$20,0)),(MATCH($C9,Lists!$A$13:$D$13,0))),INDEX(Lists!$F$13:$I$20,(MATCH($E9,Lists!$F$13:$F$20,0)),(MATCH($C9,Lists!$F$13:$I$13,0))))))</f>
        <v/>
      </c>
      <c r="H9" s="239" t="str">
        <f t="shared" si="1"/>
        <v/>
      </c>
      <c r="I9" s="112"/>
      <c r="J9" s="112"/>
      <c r="K9" s="112"/>
      <c r="L9" s="112"/>
      <c r="M9" s="246"/>
      <c r="N9" s="112"/>
      <c r="O9" s="112"/>
      <c r="P9" s="120"/>
      <c r="Q9" s="120"/>
      <c r="R9" s="120"/>
      <c r="S9" s="120"/>
      <c r="T9" s="120"/>
      <c r="U9" s="120"/>
      <c r="V9" s="120"/>
      <c r="W9" s="120"/>
      <c r="X9" s="120"/>
      <c r="Y9" s="120"/>
      <c r="Z9" s="120"/>
    </row>
    <row r="10" ht="24.0" customHeight="1">
      <c r="A10" s="124" t="s">
        <v>360</v>
      </c>
      <c r="B10" s="68"/>
      <c r="C10" s="232"/>
      <c r="D10" s="228">
        <v>4.0</v>
      </c>
      <c r="E10" s="232"/>
      <c r="F10" s="238" t="str">
        <f t="array" ref="F10">IF(C10="","",IF(E10="","",IF('4. Compliance'!$B$4="Section 11 ECB",INDEX(Lists!$A$4:$D$11,(MATCH($E10,Lists!$A$4:$A$11,0)),(MATCH($C10,Lists!$A$4:$D$4,0))),INDEX(Lists!$F$4:$I$11,(MATCH($E10,Lists!$F$4:$F$11,0)),(MATCH($C10,Lists!$F$4:$I$4,0))))))</f>
        <v/>
      </c>
      <c r="G10" s="239" t="str">
        <f t="array" ref="G10">IF(C10="","",IF(E10="","",IF('4. Compliance'!$B$4="Section 11 ECB",INDEX(Lists!$A$13:$D$20,(MATCH($E10,Lists!$A$13:$A$20,0)),(MATCH($C10,Lists!$A$13:$D$13,0))),INDEX(Lists!$F$13:$I$20,(MATCH($E10,Lists!$F$13:$F$20,0)),(MATCH($C10,Lists!$F$13:$I$13,0))))))</f>
        <v/>
      </c>
      <c r="H10" s="239" t="str">
        <f t="shared" si="1"/>
        <v/>
      </c>
      <c r="I10" s="112"/>
      <c r="J10" s="112"/>
      <c r="K10" s="112"/>
      <c r="L10" s="112"/>
      <c r="M10" s="246"/>
      <c r="N10" s="112"/>
      <c r="O10" s="112"/>
      <c r="P10" s="120"/>
      <c r="Q10" s="120"/>
      <c r="R10" s="120"/>
      <c r="S10" s="120"/>
      <c r="T10" s="120"/>
      <c r="U10" s="120"/>
      <c r="V10" s="120"/>
      <c r="W10" s="120"/>
      <c r="X10" s="120"/>
      <c r="Y10" s="120"/>
      <c r="Z10" s="120"/>
    </row>
    <row r="11" ht="24.0" customHeight="1">
      <c r="A11" s="124" t="s">
        <v>360</v>
      </c>
      <c r="B11" s="68"/>
      <c r="C11" s="232"/>
      <c r="D11" s="228">
        <v>5.0</v>
      </c>
      <c r="E11" s="232"/>
      <c r="F11" s="238" t="str">
        <f t="array" ref="F11">IF(C11="","",IF(E11="","",IF('4. Compliance'!$B$4="Section 11 ECB",INDEX(Lists!$A$4:$D$11,(MATCH($E11,Lists!$A$4:$A$11,0)),(MATCH($C11,Lists!$A$4:$D$4,0))),INDEX(Lists!$F$4:$I$11,(MATCH($E11,Lists!$F$4:$F$11,0)),(MATCH($C11,Lists!$F$4:$I$4,0))))))</f>
        <v/>
      </c>
      <c r="G11" s="239" t="str">
        <f t="array" ref="G11">IF(C11="","",IF(E11="","",IF('4. Compliance'!$B$4="Section 11 ECB",INDEX(Lists!$A$13:$D$20,(MATCH($E11,Lists!$A$13:$A$20,0)),(MATCH($C11,Lists!$A$13:$D$13,0))),INDEX(Lists!$F$13:$I$20,(MATCH($E11,Lists!$F$13:$F$20,0)),(MATCH($C11,Lists!$F$13:$I$13,0))))))</f>
        <v/>
      </c>
      <c r="H11" s="239" t="str">
        <f t="shared" si="1"/>
        <v/>
      </c>
      <c r="I11" s="112"/>
      <c r="J11" s="112"/>
      <c r="K11" s="112"/>
      <c r="L11" s="112"/>
      <c r="M11" s="246"/>
      <c r="N11" s="112"/>
      <c r="O11" s="112"/>
      <c r="P11" s="120"/>
      <c r="Q11" s="120"/>
      <c r="R11" s="120"/>
      <c r="S11" s="120"/>
      <c r="T11" s="120"/>
      <c r="U11" s="120"/>
      <c r="V11" s="120"/>
      <c r="W11" s="120"/>
      <c r="X11" s="120"/>
      <c r="Y11" s="120"/>
      <c r="Z11" s="120"/>
    </row>
    <row r="12" ht="24.0" customHeight="1">
      <c r="A12" s="124" t="s">
        <v>360</v>
      </c>
      <c r="B12" s="68"/>
      <c r="C12" s="232"/>
      <c r="D12" s="228">
        <v>6.0</v>
      </c>
      <c r="E12" s="232"/>
      <c r="F12" s="238" t="str">
        <f t="array" ref="F12">IF(C12="","",IF(E12="","",IF('4. Compliance'!$B$4="Section 11 ECB",INDEX(Lists!$A$4:$D$11,(MATCH($E12,Lists!$A$4:$A$11,0)),(MATCH($C12,Lists!$A$4:$D$4,0))),INDEX(Lists!$F$4:$I$11,(MATCH($E12,Lists!$F$4:$F$11,0)),(MATCH($C12,Lists!$F$4:$I$4,0))))))</f>
        <v/>
      </c>
      <c r="G12" s="239" t="str">
        <f t="array" ref="G12">IF(C12="","",IF(E12="","",IF('4. Compliance'!$B$4="Section 11 ECB",INDEX(Lists!$A$13:$D$20,(MATCH($E12,Lists!$A$13:$A$20,0)),(MATCH($C12,Lists!$A$13:$D$13,0))),INDEX(Lists!$F$13:$I$20,(MATCH($E12,Lists!$F$13:$F$20,0)),(MATCH($C12,Lists!$F$13:$I$13,0))))))</f>
        <v/>
      </c>
      <c r="H12" s="239" t="str">
        <f t="shared" si="1"/>
        <v/>
      </c>
      <c r="I12" s="112"/>
      <c r="J12" s="112"/>
      <c r="K12" s="112"/>
      <c r="L12" s="112"/>
      <c r="M12" s="246"/>
      <c r="N12" s="112"/>
      <c r="O12" s="112"/>
    </row>
    <row r="13" ht="24.0" customHeight="1">
      <c r="A13" s="124" t="s">
        <v>360</v>
      </c>
      <c r="B13" s="68"/>
      <c r="C13" s="232"/>
      <c r="D13" s="228">
        <v>7.0</v>
      </c>
      <c r="E13" s="232"/>
      <c r="F13" s="238" t="str">
        <f t="array" ref="F13">IF(C13="","",IF(E13="","",IF('4. Compliance'!$B$4="Section 11 ECB",INDEX(Lists!$A$4:$D$11,(MATCH($E13,Lists!$A$4:$A$11,0)),(MATCH($C13,Lists!$A$4:$D$4,0))),INDEX(Lists!$F$4:$I$11,(MATCH($E13,Lists!$F$4:$F$11,0)),(MATCH($C13,Lists!$F$4:$I$4,0))))))</f>
        <v/>
      </c>
      <c r="G13" s="239" t="str">
        <f t="array" ref="G13">IF(C13="","",IF(E13="","",IF('4. Compliance'!$B$4="Section 11 ECB",INDEX(Lists!$A$13:$D$20,(MATCH($E13,Lists!$A$13:$A$20,0)),(MATCH($C13,Lists!$A$13:$D$13,0))),INDEX(Lists!$F$13:$I$20,(MATCH($E13,Lists!$F$13:$F$20,0)),(MATCH($C13,Lists!$F$13:$I$13,0))))))</f>
        <v/>
      </c>
      <c r="H13" s="239" t="str">
        <f t="shared" si="1"/>
        <v/>
      </c>
      <c r="I13" s="112"/>
      <c r="J13" s="112"/>
      <c r="K13" s="112"/>
      <c r="L13" s="112"/>
      <c r="M13" s="246"/>
      <c r="N13" s="112"/>
      <c r="O13" s="112"/>
    </row>
    <row r="14" ht="24.0" customHeight="1">
      <c r="A14" s="124" t="s">
        <v>360</v>
      </c>
      <c r="B14" s="68"/>
      <c r="C14" s="232"/>
      <c r="D14" s="228">
        <v>8.0</v>
      </c>
      <c r="E14" s="232"/>
      <c r="F14" s="238" t="str">
        <f t="array" ref="F14">IF(C14="","",IF(E14="","",IF('4. Compliance'!$B$4="Section 11 ECB",INDEX(Lists!$A$4:$D$11,(MATCH($E14,Lists!$A$4:$A$11,0)),(MATCH($C14,Lists!$A$4:$D$4,0))),INDEX(Lists!$F$4:$I$11,(MATCH($E14,Lists!$F$4:$F$11,0)),(MATCH($C14,Lists!$F$4:$I$4,0))))))</f>
        <v/>
      </c>
      <c r="G14" s="239" t="str">
        <f t="array" ref="G14">IF(C14="","",IF(E14="","",IF('4. Compliance'!$B$4="Section 11 ECB",INDEX(Lists!$A$13:$D$20,(MATCH($E14,Lists!$A$13:$A$20,0)),(MATCH($C14,Lists!$A$13:$D$13,0))),INDEX(Lists!$F$13:$I$20,(MATCH($E14,Lists!$F$13:$F$20,0)),(MATCH($C14,Lists!$F$13:$I$13,0))))))</f>
        <v/>
      </c>
      <c r="H14" s="239" t="str">
        <f t="shared" si="1"/>
        <v/>
      </c>
      <c r="I14" s="112"/>
      <c r="J14" s="112"/>
      <c r="K14" s="112"/>
      <c r="L14" s="112"/>
      <c r="M14" s="246"/>
      <c r="N14" s="112"/>
      <c r="O14" s="112"/>
    </row>
    <row r="15" ht="24.0" customHeight="1">
      <c r="A15" s="124" t="s">
        <v>360</v>
      </c>
      <c r="B15" s="68"/>
      <c r="C15" s="232"/>
      <c r="D15" s="228">
        <v>9.0</v>
      </c>
      <c r="E15" s="232"/>
      <c r="F15" s="238" t="str">
        <f t="array" ref="F15">IF(C15="","",IF(E15="","",IF('4. Compliance'!$B$4="Section 11 ECB",INDEX(Lists!$A$4:$D$11,(MATCH($E15,Lists!$A$4:$A$11,0)),(MATCH($C15,Lists!$A$4:$D$4,0))),INDEX(Lists!$F$4:$I$11,(MATCH($E15,Lists!$F$4:$F$11,0)),(MATCH($C15,Lists!$F$4:$I$4,0))))))</f>
        <v/>
      </c>
      <c r="G15" s="239" t="str">
        <f t="array" ref="G15">IF(C15="","",IF(E15="","",IF('4. Compliance'!$B$4="Section 11 ECB",INDEX(Lists!$A$13:$D$20,(MATCH($E15,Lists!$A$13:$A$20,0)),(MATCH($C15,Lists!$A$13:$D$13,0))),INDEX(Lists!$F$13:$I$20,(MATCH($E15,Lists!$F$13:$F$20,0)),(MATCH($C15,Lists!$F$13:$I$13,0))))))</f>
        <v/>
      </c>
      <c r="H15" s="239" t="str">
        <f t="shared" si="1"/>
        <v/>
      </c>
      <c r="I15" s="112"/>
      <c r="J15" s="112"/>
      <c r="K15" s="112"/>
      <c r="L15" s="112"/>
      <c r="M15" s="246"/>
      <c r="N15" s="112"/>
      <c r="O15" s="112"/>
    </row>
    <row r="16" ht="24.0" customHeight="1">
      <c r="A16" s="124" t="s">
        <v>360</v>
      </c>
      <c r="B16" s="68"/>
      <c r="C16" s="232"/>
      <c r="D16" s="228">
        <v>10.0</v>
      </c>
      <c r="E16" s="232"/>
      <c r="F16" s="238" t="str">
        <f t="array" ref="F16">IF(C16="","",IF(E16="","",IF('4. Compliance'!$B$4="Section 11 ECB",INDEX(Lists!$A$4:$D$11,(MATCH($E16,Lists!$A$4:$A$11,0)),(MATCH($C16,Lists!$A$4:$D$4,0))),INDEX(Lists!$F$4:$I$11,(MATCH($E16,Lists!$F$4:$F$11,0)),(MATCH($C16,Lists!$F$4:$I$4,0))))))</f>
        <v/>
      </c>
      <c r="G16" s="239" t="str">
        <f t="array" ref="G16">IF(C16="","",IF(E16="","",IF('4. Compliance'!$B$4="Section 11 ECB",INDEX(Lists!$A$13:$D$20,(MATCH($E16,Lists!$A$13:$A$20,0)),(MATCH($C16,Lists!$A$13:$D$13,0))),INDEX(Lists!$F$13:$I$20,(MATCH($E16,Lists!$F$13:$F$20,0)),(MATCH($C16,Lists!$F$13:$I$13,0))))))</f>
        <v/>
      </c>
      <c r="H16" s="239" t="str">
        <f t="shared" si="1"/>
        <v/>
      </c>
      <c r="I16" s="112"/>
      <c r="J16" s="112"/>
      <c r="K16" s="112"/>
      <c r="L16" s="112"/>
      <c r="M16" s="246"/>
      <c r="N16" s="112"/>
      <c r="O16" s="112"/>
    </row>
    <row r="17" ht="24.0" customHeight="1">
      <c r="A17" s="124" t="s">
        <v>360</v>
      </c>
      <c r="B17" s="68"/>
      <c r="C17" s="232"/>
      <c r="D17" s="228">
        <v>11.0</v>
      </c>
      <c r="E17" s="232"/>
      <c r="F17" s="238" t="str">
        <f t="array" ref="F17">IF(C17="","",IF(E17="","",IF('4. Compliance'!$B$4="Section 11 ECB",INDEX(Lists!$A$4:$D$11,(MATCH($E17,Lists!$A$4:$A$11,0)),(MATCH($C17,Lists!$A$4:$D$4,0))),INDEX(Lists!$F$4:$I$11,(MATCH($E17,Lists!$F$4:$F$11,0)),(MATCH($C17,Lists!$F$4:$I$4,0))))))</f>
        <v/>
      </c>
      <c r="G17" s="239" t="str">
        <f t="array" ref="G17">IF(C17="","",IF(E17="","",IF('4. Compliance'!$B$4="Section 11 ECB",INDEX(Lists!$A$13:$D$20,(MATCH($E17,Lists!$A$13:$A$20,0)),(MATCH($C17,Lists!$A$13:$D$13,0))),INDEX(Lists!$F$13:$I$20,(MATCH($E17,Lists!$F$13:$F$20,0)),(MATCH($C17,Lists!$F$13:$I$13,0))))))</f>
        <v/>
      </c>
      <c r="H17" s="239" t="str">
        <f t="shared" si="1"/>
        <v/>
      </c>
      <c r="I17" s="112"/>
      <c r="J17" s="112"/>
      <c r="K17" s="112"/>
      <c r="L17" s="112"/>
      <c r="M17" s="246"/>
      <c r="N17" s="112"/>
      <c r="O17" s="112"/>
    </row>
    <row r="18" ht="24.0" customHeight="1">
      <c r="A18" s="124" t="s">
        <v>360</v>
      </c>
      <c r="B18" s="68"/>
      <c r="C18" s="232"/>
      <c r="D18" s="228">
        <v>12.0</v>
      </c>
      <c r="E18" s="232"/>
      <c r="F18" s="238" t="str">
        <f t="array" ref="F18">IF(C18="","",IF(E18="","",IF('4. Compliance'!$B$4="Section 11 ECB",INDEX(Lists!$A$4:$D$11,(MATCH($E18,Lists!$A$4:$A$11,0)),(MATCH($C18,Lists!$A$4:$D$4,0))),INDEX(Lists!$F$4:$I$11,(MATCH($E18,Lists!$F$4:$F$11,0)),(MATCH($C18,Lists!$F$4:$I$4,0))))))</f>
        <v/>
      </c>
      <c r="G18" s="239" t="str">
        <f t="array" ref="G18">IF(C18="","",IF(E18="","",IF('4. Compliance'!$B$4="Section 11 ECB",INDEX(Lists!$A$13:$D$20,(MATCH($E18,Lists!$A$13:$A$20,0)),(MATCH($C18,Lists!$A$13:$D$13,0))),INDEX(Lists!$F$13:$I$20,(MATCH($E18,Lists!$F$13:$F$20,0)),(MATCH($C18,Lists!$F$13:$I$13,0))))))</f>
        <v/>
      </c>
      <c r="H18" s="239" t="str">
        <f t="shared" si="1"/>
        <v/>
      </c>
      <c r="I18" s="112"/>
      <c r="J18" s="112"/>
      <c r="K18" s="112"/>
      <c r="L18" s="112"/>
      <c r="M18" s="246"/>
      <c r="N18" s="246"/>
      <c r="O18" s="112"/>
    </row>
    <row r="19" ht="24.0" customHeight="1">
      <c r="A19" s="124" t="s">
        <v>392</v>
      </c>
      <c r="B19" s="68"/>
      <c r="C19" s="232"/>
      <c r="D19" s="228">
        <v>1.0</v>
      </c>
      <c r="E19" s="232"/>
      <c r="F19" s="238" t="str">
        <f t="array" ref="F19">IF(C19="","",IF(E19="","",IF('4. Compliance'!$B$4="Section 11 ECB",INDEX(Lists!$A$22:$D$24,(MATCH($E19,Lists!$A$22:$A$24,0)),(MATCH($C19,Lists!$A$22:$D$22,0))),INDEX(Lists!$F$22:$I$24,(MATCH($E19,Lists!$F$22:$F$24,0)),(MATCH($C19,Lists!$F$22:$I$22,0))))))</f>
        <v/>
      </c>
      <c r="G19" s="239" t="str">
        <f t="array" ref="G19">IF(C19="","",IF(E19="","",IF('4. Compliance'!$B$4="Section 11 ECB",INDEX(Lists!$A$26:$D$28,(MATCH($E19,Lists!$A$26:$A$28,0)),(MATCH($C19,Lists!$A$26:$D$26,0))),INDEX(Lists!$F$26:$I$28,(MATCH($E19,Lists!$F$26:$F$28,0)),(MATCH($C19,Lists!$F$26:$I$26,0))))))</f>
        <v/>
      </c>
      <c r="H19" s="239" t="str">
        <f t="shared" si="1"/>
        <v/>
      </c>
      <c r="I19" s="112"/>
      <c r="J19" s="112"/>
      <c r="K19" s="112"/>
      <c r="L19" s="112"/>
      <c r="M19" s="246"/>
      <c r="N19" s="255"/>
      <c r="O19" s="112"/>
    </row>
    <row r="20" ht="24.0" customHeight="1">
      <c r="A20" s="124" t="s">
        <v>392</v>
      </c>
      <c r="B20" s="68"/>
      <c r="C20" s="232"/>
      <c r="D20" s="228">
        <v>2.0</v>
      </c>
      <c r="E20" s="232"/>
      <c r="F20" s="238" t="str">
        <f t="array" ref="F20">IF(C20="","",IF(E20="","",IF('4. Compliance'!$B$4="Section 11 ECB",INDEX(Lists!$A$22:$D$24,(MATCH($E20,Lists!$A$22:$A$24,0)),(MATCH($C20,Lists!$A$22:$D$22,0))),INDEX(Lists!$F$22:$I$24,(MATCH($E20,Lists!$F$22:$F$24,0)),(MATCH($C20,Lists!$F$22:$I$22,0))))))</f>
        <v/>
      </c>
      <c r="G20" s="239" t="str">
        <f t="array" ref="G20">IF(C20="","",IF(E20="","",IF('4. Compliance'!$B$4="Section 11 ECB",INDEX(Lists!$A$26:$D$28,(MATCH($E20,Lists!$A$26:$A$28,0)),(MATCH($C20,Lists!$A$26:$D$26,0))),INDEX(Lists!$F$26:$I$28,(MATCH($E20,Lists!$F$26:$F$28,0)),(MATCH($C20,Lists!$F$26:$I$26,0))))))</f>
        <v/>
      </c>
      <c r="H20" s="239" t="str">
        <f t="shared" si="1"/>
        <v/>
      </c>
      <c r="I20" s="112"/>
      <c r="J20" s="112"/>
      <c r="K20" s="112"/>
      <c r="L20" s="112"/>
      <c r="M20" s="246"/>
      <c r="N20" s="112"/>
      <c r="O20" s="112"/>
    </row>
    <row r="21" ht="33.0" customHeight="1">
      <c r="A21" s="226" t="s">
        <v>394</v>
      </c>
      <c r="B21" s="45"/>
      <c r="C21" s="46"/>
      <c r="D21" s="257" t="s">
        <v>395</v>
      </c>
      <c r="E21" s="67"/>
      <c r="F21" s="67"/>
      <c r="G21" s="258"/>
      <c r="H21" s="68"/>
      <c r="I21" s="259" t="s">
        <v>396</v>
      </c>
      <c r="J21" s="45"/>
      <c r="K21" s="46"/>
      <c r="L21" s="251" t="s">
        <v>397</v>
      </c>
      <c r="M21" s="252">
        <f>IF(M7="","",IF(AND('6a. Ext. Wall Areas'!J13/100&lt;(SUM(M7:M18)+SUM(M7:M18)*0.01),'6a. Ext. Wall Areas'!J13/100&gt;(SUM(M7:M18)-SUM(M7:M18)*0.01)),SUM(M7:M18),"WWR does not equal tab 6a."))</f>
        <v>0.2196579922</v>
      </c>
      <c r="N21" s="245"/>
      <c r="O21" s="245"/>
    </row>
    <row r="22" ht="32.25" customHeight="1">
      <c r="A22" s="49"/>
      <c r="B22" s="50"/>
      <c r="C22" s="51"/>
      <c r="D22" s="257" t="s">
        <v>398</v>
      </c>
      <c r="E22" s="67"/>
      <c r="F22" s="67"/>
      <c r="G22" s="258"/>
      <c r="H22" s="68"/>
      <c r="I22" s="49"/>
      <c r="J22" s="50"/>
      <c r="K22" s="51"/>
      <c r="L22" s="251" t="s">
        <v>399</v>
      </c>
      <c r="M22" s="252" t="str">
        <f>IF(M19="","",IF(AND('6a. Ext. Wall Areas'!J16/100&lt;(SUM(M19:M20)+SUM(M19:M20)*0.01),'6a. Ext. Wall Areas'!J16/100&gt;(SUM(M19:M20)-SUM(M19:M20)*0.01)),SUM(M19:M20),"WWR does not equal tab 6a."))</f>
        <v/>
      </c>
      <c r="N22" s="198"/>
      <c r="O22" s="19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3:O3"/>
    <mergeCell ref="A4:O4"/>
    <mergeCell ref="C5:C6"/>
    <mergeCell ref="E5:H5"/>
    <mergeCell ref="I5:M5"/>
    <mergeCell ref="N5:N6"/>
    <mergeCell ref="O5:O6"/>
    <mergeCell ref="A5:B6"/>
    <mergeCell ref="A7:B7"/>
    <mergeCell ref="A8:B8"/>
    <mergeCell ref="A9:B9"/>
    <mergeCell ref="A10:B10"/>
    <mergeCell ref="A11:B11"/>
    <mergeCell ref="A12:B12"/>
    <mergeCell ref="A13:B13"/>
    <mergeCell ref="A14:B14"/>
    <mergeCell ref="A15:B15"/>
    <mergeCell ref="A16:B16"/>
    <mergeCell ref="A17:B17"/>
    <mergeCell ref="A18:B18"/>
    <mergeCell ref="A19:B19"/>
    <mergeCell ref="D22:F22"/>
    <mergeCell ref="G22:H22"/>
    <mergeCell ref="A20:B20"/>
    <mergeCell ref="A21:C22"/>
    <mergeCell ref="D21:F21"/>
    <mergeCell ref="G21:H21"/>
    <mergeCell ref="I21:K22"/>
    <mergeCell ref="N21:N22"/>
    <mergeCell ref="O21:O22"/>
  </mergeCells>
  <conditionalFormatting sqref="I7:O9">
    <cfRule type="containsBlanks" dxfId="0" priority="1">
      <formula>LEN(TRIM(I7))=0</formula>
    </cfRule>
  </conditionalFormatting>
  <conditionalFormatting sqref="M21">
    <cfRule type="beginsWith" dxfId="1" priority="2" operator="beginsWith" text="WWR">
      <formula>LEFT((M21),LEN("WWR"))=("WWR")</formula>
    </cfRule>
  </conditionalFormatting>
  <conditionalFormatting sqref="M21">
    <cfRule type="containsText" dxfId="1" priority="3" operator="containsText" text="&quot;WWR does not equal tab 6a.&quot;">
      <formula>NOT(ISERROR(SEARCH(("""WWR does not equal tab 6a."""),(M21))))</formula>
    </cfRule>
  </conditionalFormatting>
  <conditionalFormatting sqref="M22">
    <cfRule type="beginsWith" dxfId="1" priority="4" operator="beginsWith" text="WWR">
      <formula>LEFT((M22),LEN("WWR"))=("WWR")</formula>
    </cfRule>
  </conditionalFormatting>
  <conditionalFormatting sqref="M22">
    <cfRule type="containsText" dxfId="1" priority="5" operator="containsText" text="&quot;WWR does not equal tab 6a.&quot;">
      <formula>NOT(ISERROR(SEARCH(("""WWR does not equal tab 6a."""),(M22))))</formula>
    </cfRule>
  </conditionalFormatting>
  <dataValidations>
    <dataValidation type="list" allowBlank="1" showErrorMessage="1" sqref="C7:C20">
      <formula1>Env_Type</formula1>
    </dataValidation>
    <dataValidation type="list" allowBlank="1" showErrorMessage="1" sqref="E7:E18">
      <formula1>Fenestration</formula1>
    </dataValidation>
    <dataValidation type="list" allowBlank="1" showErrorMessage="1" sqref="E19:E20">
      <formula1>Lists!$A$23:$A$24</formula1>
    </dataValidation>
    <dataValidation type="list" allowBlank="1" showErrorMessage="1" sqref="G21:G22">
      <formula1>Lists!$B$1:$B$3</formula1>
    </dataValidation>
  </dataValidations>
  <printOptions/>
  <pageMargins bottom="0.75" footer="0.0" header="0.0" left="0.4791666666666667" right="0.7" top="0.75"/>
  <pageSetup orientation="landscape"/>
  <headerFooter>
    <oddFooter>&amp;LVersion 7&amp;RAugust 2023</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0.86"/>
    <col customWidth="1" min="3" max="3" width="3.86"/>
    <col customWidth="1" min="4" max="4" width="19.57"/>
    <col customWidth="1" min="5" max="5" width="8.43"/>
    <col customWidth="1" min="6" max="6" width="17.29"/>
    <col customWidth="1" min="7" max="8" width="8.57"/>
    <col customWidth="1" min="9" max="9" width="11.14"/>
    <col customWidth="1" min="10" max="10" width="11.43"/>
    <col customWidth="1" min="11" max="11" width="5.71"/>
    <col customWidth="1" min="12" max="26" width="8.71"/>
  </cols>
  <sheetData>
    <row r="2" ht="14.25" customHeight="1">
      <c r="A2" s="231" t="s">
        <v>358</v>
      </c>
      <c r="B2" s="225" t="s">
        <v>359</v>
      </c>
      <c r="C2" s="67"/>
      <c r="D2" s="67"/>
      <c r="E2" s="67"/>
      <c r="F2" s="67"/>
      <c r="G2" s="67"/>
      <c r="H2" s="67"/>
      <c r="I2" s="67"/>
      <c r="J2" s="67"/>
    </row>
    <row r="3" ht="14.25" customHeight="1">
      <c r="A3" s="88" t="str">
        <f>CONCATENATE("Compliance based on ",IF(Path="","",Path))</f>
        <v>Compliance based on Appendix G PRM</v>
      </c>
      <c r="B3" s="67"/>
      <c r="C3" s="67"/>
      <c r="D3" s="67"/>
      <c r="E3" s="67"/>
      <c r="F3" s="67"/>
      <c r="G3" s="67"/>
      <c r="H3" s="67"/>
      <c r="I3" s="67"/>
      <c r="J3" s="67"/>
    </row>
    <row r="4" ht="18.0" customHeight="1">
      <c r="A4" s="227" t="s">
        <v>349</v>
      </c>
      <c r="B4" s="227" t="s">
        <v>363</v>
      </c>
      <c r="C4" s="233" t="s">
        <v>351</v>
      </c>
      <c r="D4" s="124" t="s">
        <v>299</v>
      </c>
      <c r="E4" s="68"/>
      <c r="F4" s="124" t="s">
        <v>301</v>
      </c>
      <c r="G4" s="68"/>
      <c r="H4" s="228"/>
      <c r="I4" s="227" t="s">
        <v>364</v>
      </c>
      <c r="J4" s="227" t="s">
        <v>184</v>
      </c>
      <c r="K4" s="234"/>
      <c r="L4" s="120"/>
      <c r="M4" s="120"/>
      <c r="N4" s="120"/>
      <c r="O4" s="120"/>
      <c r="P4" s="120"/>
      <c r="Q4" s="120"/>
      <c r="R4" s="120"/>
      <c r="S4" s="120"/>
      <c r="T4" s="120"/>
      <c r="U4" s="120"/>
      <c r="V4" s="120"/>
      <c r="W4" s="120"/>
      <c r="X4" s="120"/>
      <c r="Y4" s="120"/>
      <c r="Z4" s="120"/>
    </row>
    <row r="5" ht="44.25" customHeight="1">
      <c r="A5" s="198"/>
      <c r="B5" s="198"/>
      <c r="C5" s="198"/>
      <c r="D5" s="228" t="s">
        <v>365</v>
      </c>
      <c r="E5" s="228" t="s">
        <v>366</v>
      </c>
      <c r="F5" s="228" t="s">
        <v>365</v>
      </c>
      <c r="G5" s="228" t="s">
        <v>367</v>
      </c>
      <c r="H5" s="228" t="s">
        <v>368</v>
      </c>
      <c r="I5" s="198"/>
      <c r="J5" s="198"/>
      <c r="K5" s="234"/>
      <c r="L5" s="120"/>
      <c r="M5" s="120"/>
      <c r="N5" s="120"/>
      <c r="O5" s="120"/>
      <c r="P5" s="120"/>
      <c r="Q5" s="120"/>
      <c r="R5" s="120"/>
      <c r="S5" s="120"/>
      <c r="T5" s="120"/>
      <c r="U5" s="120"/>
      <c r="V5" s="120"/>
      <c r="W5" s="120"/>
      <c r="X5" s="120"/>
      <c r="Y5" s="120"/>
      <c r="Z5" s="120"/>
    </row>
    <row r="6" ht="15.0" customHeight="1">
      <c r="A6" s="235" t="s">
        <v>369</v>
      </c>
      <c r="B6" s="236" t="s">
        <v>361</v>
      </c>
      <c r="C6" s="235">
        <v>1.0</v>
      </c>
      <c r="D6" s="237" t="s">
        <v>370</v>
      </c>
      <c r="E6" s="152" t="str">
        <f t="array" ref="E6">IF(B6="","",IF(D6="","",IF('4. Compliance'!$B$4="Section 11 ECB",INDEX(Lists!$A$30:$D$33,(MATCH($D6,Lists!$A$30:$A$33,0)),(MATCH($B6,Lists!$A$30:$D$30,0))),INDEX(Lists!$F$30:$I$33,(MATCH($D6,Lists!$F$30:$F$33,0)),(MATCH($B6,Lists!$F$30:$I$30,0))))))</f>
        <v>U-0.063</v>
      </c>
      <c r="F6" s="242" t="s">
        <v>373</v>
      </c>
      <c r="G6" s="243">
        <v>0.024</v>
      </c>
      <c r="H6" s="243">
        <v>100.0</v>
      </c>
      <c r="I6" s="244" t="s">
        <v>374</v>
      </c>
      <c r="J6" s="245" t="s">
        <v>319</v>
      </c>
      <c r="K6" s="234"/>
      <c r="L6" s="120"/>
      <c r="M6" s="120"/>
      <c r="N6" s="120"/>
      <c r="O6" s="120"/>
      <c r="P6" s="120"/>
      <c r="Q6" s="120"/>
      <c r="R6" s="120"/>
      <c r="S6" s="120"/>
      <c r="T6" s="120"/>
      <c r="U6" s="120"/>
      <c r="V6" s="120"/>
      <c r="W6" s="120"/>
      <c r="X6" s="120"/>
      <c r="Y6" s="120"/>
      <c r="Z6" s="120"/>
    </row>
    <row r="7" ht="15.0" customHeight="1">
      <c r="A7" s="194"/>
      <c r="B7" s="198"/>
      <c r="C7" s="198"/>
      <c r="D7" s="99" t="s">
        <v>375</v>
      </c>
      <c r="E7" s="109" t="s">
        <v>376</v>
      </c>
      <c r="F7" s="15"/>
      <c r="G7" s="15"/>
      <c r="H7" s="15"/>
      <c r="I7" s="198"/>
      <c r="J7" s="198"/>
      <c r="K7" s="234"/>
      <c r="L7" s="120"/>
      <c r="M7" s="120"/>
      <c r="N7" s="120"/>
      <c r="O7" s="120"/>
      <c r="P7" s="120"/>
      <c r="Q7" s="120"/>
      <c r="R7" s="120"/>
      <c r="S7" s="120"/>
      <c r="T7" s="120"/>
      <c r="U7" s="120"/>
      <c r="V7" s="120"/>
      <c r="W7" s="120"/>
      <c r="X7" s="120"/>
      <c r="Y7" s="120"/>
      <c r="Z7" s="120"/>
    </row>
    <row r="8" ht="14.25" customHeight="1">
      <c r="A8" s="194"/>
      <c r="B8" s="236"/>
      <c r="C8" s="235">
        <v>2.0</v>
      </c>
      <c r="D8" s="237"/>
      <c r="E8" s="152" t="str">
        <f t="array" ref="E8">IF(B8="","",IF(D8="","",IF('4. Compliance'!$B$4="Section 11 ECB",INDEX(Lists!$A$30:$D$33,(MATCH($D8,Lists!$A$30:$A$33,0)),(MATCH($B8,Lists!$A$30:$D$30,0))),INDEX(Lists!$F$30:$I$33,(MATCH($D8,Lists!$F$30:$F$33,0)),(MATCH($B8,Lists!$F$30:$I$30,0))))))</f>
        <v/>
      </c>
      <c r="F8" s="15"/>
      <c r="G8" s="15"/>
      <c r="H8" s="15"/>
      <c r="I8" s="245"/>
      <c r="J8" s="245"/>
      <c r="K8" s="234"/>
      <c r="L8" s="120"/>
      <c r="M8" s="120"/>
      <c r="N8" s="120"/>
      <c r="O8" s="120"/>
      <c r="P8" s="120"/>
      <c r="Q8" s="120"/>
      <c r="R8" s="120"/>
      <c r="S8" s="120"/>
      <c r="T8" s="120"/>
      <c r="U8" s="120"/>
      <c r="V8" s="120"/>
      <c r="W8" s="120"/>
      <c r="X8" s="120"/>
      <c r="Y8" s="120"/>
      <c r="Z8" s="120"/>
    </row>
    <row r="9" ht="15.0" customHeight="1">
      <c r="A9" s="198"/>
      <c r="B9" s="198"/>
      <c r="C9" s="198"/>
      <c r="D9" s="99" t="s">
        <v>375</v>
      </c>
      <c r="E9" s="109" t="s">
        <v>376</v>
      </c>
      <c r="F9" s="15"/>
      <c r="G9" s="15"/>
      <c r="H9" s="15"/>
      <c r="I9" s="198"/>
      <c r="J9" s="198"/>
      <c r="K9" s="234"/>
      <c r="L9" s="120"/>
      <c r="M9" s="120"/>
      <c r="N9" s="120"/>
      <c r="O9" s="120"/>
      <c r="P9" s="120"/>
      <c r="Q9" s="120"/>
      <c r="R9" s="120"/>
      <c r="S9" s="120"/>
      <c r="T9" s="120"/>
      <c r="U9" s="120"/>
      <c r="V9" s="120"/>
      <c r="W9" s="120"/>
      <c r="X9" s="120"/>
      <c r="Y9" s="120"/>
      <c r="Z9" s="120"/>
    </row>
    <row r="10" ht="19.5" customHeight="1">
      <c r="A10" s="227" t="s">
        <v>377</v>
      </c>
      <c r="B10" s="232" t="s">
        <v>361</v>
      </c>
      <c r="C10" s="99">
        <v>1.0</v>
      </c>
      <c r="D10" s="237" t="s">
        <v>378</v>
      </c>
      <c r="E10" s="152" t="str">
        <f t="array" ref="E10">IF(B10="","",IF(D10="","",IF('4. Compliance'!$B$4="Section 11 ECB",INDEX(Lists!$A$34:$D$38,(MATCH($D10,Lists!$A$34:$A$38,0)),(MATCH($B10,Lists!$A$34:$D$34,0))),INDEX(Lists!$F$34:$I$38,(MATCH($D10,Lists!$F$34:$F$38,0)),(MATCH($B10,Lists!$F$34:$I$34,0))))))</f>
        <v>U-0.064</v>
      </c>
      <c r="F10" s="242" t="s">
        <v>379</v>
      </c>
      <c r="G10" s="240">
        <v>0.047</v>
      </c>
      <c r="H10" s="241">
        <v>0.780342007819019</v>
      </c>
      <c r="I10" s="112" t="s">
        <v>374</v>
      </c>
      <c r="J10" s="112" t="s">
        <v>319</v>
      </c>
      <c r="K10" s="234"/>
      <c r="L10" s="120"/>
      <c r="M10" s="120"/>
      <c r="N10" s="120"/>
      <c r="O10" s="120"/>
      <c r="P10" s="120"/>
      <c r="Q10" s="120"/>
      <c r="R10" s="120"/>
      <c r="S10" s="120"/>
      <c r="T10" s="120"/>
      <c r="U10" s="120"/>
      <c r="V10" s="120"/>
      <c r="W10" s="120"/>
      <c r="X10" s="120"/>
      <c r="Y10" s="120"/>
      <c r="Z10" s="120"/>
    </row>
    <row r="11" ht="19.5" customHeight="1">
      <c r="A11" s="194"/>
      <c r="B11" s="232"/>
      <c r="C11" s="99">
        <v>2.0</v>
      </c>
      <c r="D11" s="237"/>
      <c r="E11" s="152" t="str">
        <f t="array" ref="E11">IF(B11="","",IF(D11="","",IF('4. Compliance'!$B$4="Section 11 ECB",INDEX(Lists!$A$34:$D$38,(MATCH($D11,Lists!$A$34:$A$38,0)),(MATCH($B11,Lists!$A$34:$D$34,0))),INDEX(Lists!$F$34:$I$38,(MATCH($D11,Lists!$F$34:$F$38,0)),(MATCH($B11,Lists!$F$34:$I$34,0))))))</f>
        <v/>
      </c>
      <c r="F11" s="247"/>
      <c r="G11" s="247"/>
      <c r="H11" s="248"/>
      <c r="I11" s="112"/>
      <c r="J11" s="112"/>
      <c r="K11" s="234"/>
      <c r="L11" s="120"/>
      <c r="M11" s="120"/>
      <c r="N11" s="120"/>
      <c r="O11" s="120"/>
      <c r="P11" s="120"/>
      <c r="Q11" s="120"/>
      <c r="R11" s="120"/>
      <c r="S11" s="120"/>
      <c r="T11" s="120"/>
      <c r="U11" s="120"/>
      <c r="V11" s="120"/>
      <c r="W11" s="120"/>
      <c r="X11" s="120"/>
      <c r="Y11" s="120"/>
      <c r="Z11" s="120"/>
    </row>
    <row r="12" ht="19.5" customHeight="1">
      <c r="A12" s="194"/>
      <c r="B12" s="232"/>
      <c r="C12" s="99">
        <v>3.0</v>
      </c>
      <c r="D12" s="237"/>
      <c r="E12" s="152" t="str">
        <f t="array" ref="E12">IF(B12="","",IF(D12="","",IF('4. Compliance'!$B$4="Section 11 ECB",INDEX(Lists!$A$34:$D$38,(MATCH($D12,Lists!$A$34:$A$38,0)),(MATCH($B12,Lists!$A$34:$D$34,0))),INDEX(Lists!$F$34:$I$38,(MATCH($D12,Lists!$F$34:$F$38,0)),(MATCH($B12,Lists!$F$34:$I$34,0))))))</f>
        <v/>
      </c>
      <c r="F12" s="247"/>
      <c r="G12" s="247"/>
      <c r="H12" s="248"/>
      <c r="I12" s="112"/>
      <c r="J12" s="112"/>
      <c r="K12" s="234"/>
      <c r="L12" s="120"/>
      <c r="M12" s="120"/>
      <c r="N12" s="120"/>
      <c r="O12" s="120"/>
      <c r="P12" s="120"/>
      <c r="Q12" s="120"/>
      <c r="R12" s="120"/>
      <c r="S12" s="120"/>
      <c r="T12" s="120"/>
      <c r="U12" s="120"/>
      <c r="V12" s="120"/>
      <c r="W12" s="120"/>
      <c r="X12" s="120"/>
      <c r="Y12" s="120"/>
      <c r="Z12" s="120"/>
    </row>
    <row r="13" ht="19.5" customHeight="1">
      <c r="A13" s="194"/>
      <c r="B13" s="232"/>
      <c r="C13" s="99">
        <v>4.0</v>
      </c>
      <c r="D13" s="237"/>
      <c r="E13" s="152" t="str">
        <f t="array" ref="E13">IF(B13="","",IF(D13="","",IF('4. Compliance'!$B$4="Section 11 ECB",INDEX(Lists!$A$34:$D$38,(MATCH($D13,Lists!$A$34:$A$38,0)),(MATCH($B13,Lists!$A$34:$D$34,0))),INDEX(Lists!$F$34:$I$38,(MATCH($D13,Lists!$F$34:$F$38,0)),(MATCH($B13,Lists!$F$34:$I$34,0))))))</f>
        <v/>
      </c>
      <c r="F13" s="15"/>
      <c r="G13" s="15"/>
      <c r="H13" s="249"/>
      <c r="I13" s="112"/>
      <c r="J13" s="112"/>
      <c r="K13" s="234"/>
      <c r="L13" s="120"/>
      <c r="M13" s="120"/>
      <c r="N13" s="120"/>
      <c r="O13" s="120"/>
      <c r="P13" s="120"/>
      <c r="Q13" s="120"/>
      <c r="R13" s="120"/>
      <c r="S13" s="120"/>
      <c r="T13" s="120"/>
      <c r="U13" s="120"/>
      <c r="V13" s="120"/>
      <c r="W13" s="120"/>
      <c r="X13" s="120"/>
      <c r="Y13" s="120"/>
      <c r="Z13" s="120"/>
    </row>
    <row r="14" ht="19.5" customHeight="1">
      <c r="A14" s="194"/>
      <c r="B14" s="232"/>
      <c r="C14" s="99">
        <v>5.0</v>
      </c>
      <c r="D14" s="237"/>
      <c r="E14" s="152" t="str">
        <f t="array" ref="E14">IF(B14="","",IF(D14="","",IF('4. Compliance'!$B$4="Section 11 ECB",INDEX(Lists!$A$34:$D$38,(MATCH($D14,Lists!$A$34:$A$38,0)),(MATCH($B14,Lists!$A$34:$D$34,0))),INDEX(Lists!$F$34:$I$38,(MATCH($D14,Lists!$F$34:$F$38,0)),(MATCH($B14,Lists!$F$34:$I$34,0))))))</f>
        <v/>
      </c>
      <c r="F14" s="15"/>
      <c r="G14" s="15"/>
      <c r="H14" s="249"/>
      <c r="I14" s="112"/>
      <c r="J14" s="112"/>
      <c r="K14" s="234"/>
      <c r="L14" s="120"/>
      <c r="M14" s="120"/>
      <c r="N14" s="120"/>
      <c r="O14" s="120"/>
      <c r="P14" s="120"/>
      <c r="Q14" s="120"/>
      <c r="R14" s="120"/>
      <c r="S14" s="120"/>
      <c r="T14" s="120"/>
      <c r="U14" s="120"/>
      <c r="V14" s="120"/>
      <c r="W14" s="120"/>
      <c r="X14" s="120"/>
      <c r="Y14" s="120"/>
      <c r="Z14" s="120"/>
    </row>
    <row r="15" ht="19.5" customHeight="1">
      <c r="A15" s="194"/>
      <c r="B15" s="232"/>
      <c r="C15" s="99">
        <v>6.0</v>
      </c>
      <c r="D15" s="237"/>
      <c r="E15" s="152"/>
      <c r="F15" s="15"/>
      <c r="G15" s="15"/>
      <c r="H15" s="249"/>
      <c r="I15" s="112"/>
      <c r="J15" s="112"/>
      <c r="K15" s="234"/>
      <c r="L15" s="120"/>
      <c r="M15" s="120"/>
      <c r="N15" s="120"/>
      <c r="O15" s="120"/>
      <c r="P15" s="120"/>
      <c r="Q15" s="120"/>
      <c r="R15" s="120"/>
      <c r="S15" s="120"/>
      <c r="T15" s="120"/>
      <c r="U15" s="120"/>
      <c r="V15" s="120"/>
      <c r="W15" s="120"/>
      <c r="X15" s="120"/>
      <c r="Y15" s="120"/>
      <c r="Z15" s="120"/>
    </row>
    <row r="16" ht="19.5" customHeight="1">
      <c r="A16" s="194"/>
      <c r="B16" s="232"/>
      <c r="C16" s="99">
        <v>7.0</v>
      </c>
      <c r="D16" s="237"/>
      <c r="E16" s="152"/>
      <c r="F16" s="15"/>
      <c r="G16" s="15"/>
      <c r="H16" s="249"/>
      <c r="I16" s="112"/>
      <c r="J16" s="112"/>
      <c r="K16" s="234"/>
      <c r="L16" s="120"/>
      <c r="M16" s="120"/>
      <c r="N16" s="120"/>
      <c r="O16" s="120"/>
      <c r="P16" s="120"/>
      <c r="Q16" s="120"/>
      <c r="R16" s="120"/>
      <c r="S16" s="120"/>
      <c r="T16" s="120"/>
      <c r="U16" s="120"/>
      <c r="V16" s="120"/>
      <c r="W16" s="120"/>
      <c r="X16" s="120"/>
      <c r="Y16" s="120"/>
      <c r="Z16" s="120"/>
    </row>
    <row r="17" ht="19.5" customHeight="1">
      <c r="A17" s="194"/>
      <c r="B17" s="232"/>
      <c r="C17" s="99">
        <v>8.0</v>
      </c>
      <c r="D17" s="237"/>
      <c r="E17" s="152" t="str">
        <f t="array" ref="E17">IF(B17="","",IF(D17="","",IF('4. Compliance'!$B$4="Section 11 ECB",INDEX(Lists!$A$34:$D$38,(MATCH($D17,Lists!$A$34:$A$38,0)),(MATCH($B17,Lists!$A$34:$D$34,0))),INDEX(Lists!$F$34:$I$38,(MATCH($D17,Lists!$F$34:$F$38,0)),(MATCH($B17,Lists!$F$34:$I$34,0))))))</f>
        <v/>
      </c>
      <c r="F17" s="15"/>
      <c r="G17" s="15"/>
      <c r="H17" s="249"/>
      <c r="I17" s="112"/>
      <c r="J17" s="112"/>
      <c r="K17" s="234"/>
      <c r="L17" s="120"/>
      <c r="M17" s="120"/>
      <c r="N17" s="120"/>
      <c r="O17" s="120"/>
      <c r="P17" s="120"/>
      <c r="Q17" s="120"/>
      <c r="R17" s="120"/>
      <c r="S17" s="120"/>
      <c r="T17" s="120"/>
      <c r="U17" s="120"/>
      <c r="V17" s="120"/>
      <c r="W17" s="120"/>
      <c r="X17" s="120"/>
      <c r="Y17" s="120"/>
      <c r="Z17" s="120"/>
    </row>
    <row r="18" ht="19.5" customHeight="1">
      <c r="A18" s="194"/>
      <c r="B18" s="232"/>
      <c r="C18" s="99">
        <v>9.0</v>
      </c>
      <c r="D18" s="237"/>
      <c r="E18" s="152" t="str">
        <f t="array" ref="E18">IF(B18="","",IF(D18="","",IF('4. Compliance'!$B$4="Section 11 ECB",INDEX(Lists!$A$34:$D$38,(MATCH($D18,Lists!$A$34:$A$38,0)),(MATCH($B18,Lists!$A$34:$D$34,0))),INDEX(Lists!$F$34:$I$38,(MATCH($D18,Lists!$F$34:$F$38,0)),(MATCH($B18,Lists!$F$34:$I$34,0))))))</f>
        <v/>
      </c>
      <c r="F18" s="15"/>
      <c r="G18" s="15"/>
      <c r="H18" s="249"/>
      <c r="I18" s="112"/>
      <c r="J18" s="112"/>
      <c r="K18" s="234"/>
      <c r="L18" s="120"/>
      <c r="M18" s="120"/>
      <c r="N18" s="120"/>
      <c r="O18" s="120"/>
      <c r="P18" s="120"/>
      <c r="Q18" s="120"/>
      <c r="R18" s="120"/>
      <c r="S18" s="120"/>
      <c r="T18" s="120"/>
      <c r="U18" s="120"/>
      <c r="V18" s="120"/>
      <c r="W18" s="120"/>
      <c r="X18" s="120"/>
      <c r="Y18" s="120"/>
      <c r="Z18" s="120"/>
    </row>
    <row r="19" ht="19.5" customHeight="1">
      <c r="A19" s="198"/>
      <c r="B19" s="232"/>
      <c r="C19" s="99">
        <v>10.0</v>
      </c>
      <c r="D19" s="237"/>
      <c r="E19" s="152" t="str">
        <f t="array" ref="E19">IF(B19="","",IF(D19="","",IF('4. Compliance'!$B$4="Section 11 ECB",INDEX(Lists!$A$34:$D$38,(MATCH($D19,Lists!$A$34:$A$38,0)),(MATCH($B19,Lists!$A$34:$D$34,0))),INDEX(Lists!$F$34:$I$38,(MATCH($D19,Lists!$F$34:$F$38,0)),(MATCH($B19,Lists!$F$34:$I$34,0))))))</f>
        <v/>
      </c>
      <c r="F19" s="15"/>
      <c r="G19" s="15"/>
      <c r="H19" s="249"/>
      <c r="I19" s="112"/>
      <c r="J19" s="112"/>
      <c r="K19" s="234"/>
      <c r="L19" s="120"/>
      <c r="M19" s="120"/>
      <c r="N19" s="120"/>
      <c r="O19" s="120"/>
      <c r="P19" s="120"/>
      <c r="Q19" s="120"/>
      <c r="R19" s="120"/>
      <c r="S19" s="120"/>
      <c r="T19" s="120"/>
      <c r="U19" s="120"/>
      <c r="V19" s="120"/>
      <c r="W19" s="120"/>
      <c r="X19" s="120"/>
      <c r="Y19" s="120"/>
      <c r="Z19" s="120"/>
    </row>
    <row r="20" ht="19.5" customHeight="1">
      <c r="A20" s="235" t="s">
        <v>380</v>
      </c>
      <c r="B20" s="237" t="s">
        <v>381</v>
      </c>
      <c r="C20" s="99">
        <v>1.0</v>
      </c>
      <c r="D20" s="237" t="s">
        <v>382</v>
      </c>
      <c r="E20" s="152" t="str">
        <f t="array" ref="E20">IF(B20="","",IF(D20="","",IF('4. Compliance'!$B$4="Section 11 ECB",INDEX(Lists!$A$39:$D$40,(MATCH($D20,Lists!$A$39:$A$40,0)),(MATCH($B20,Lists!$A$39:$D$39,0))),INDEX(Lists!$F$39:$I$40,(MATCH($D20,Lists!$F$39:$F$40,0)),(MATCH($B20,Lists!$F$39:$I$39,0))))))</f>
        <v>C-1.140</v>
      </c>
      <c r="F20" s="247" t="s">
        <v>383</v>
      </c>
      <c r="G20" s="247">
        <v>0.048</v>
      </c>
      <c r="H20" s="247">
        <v>100.0</v>
      </c>
      <c r="I20" s="112" t="s">
        <v>374</v>
      </c>
      <c r="J20" s="112" t="s">
        <v>319</v>
      </c>
      <c r="K20" s="234"/>
      <c r="L20" s="120"/>
      <c r="M20" s="120"/>
      <c r="N20" s="120"/>
      <c r="O20" s="120"/>
      <c r="P20" s="120"/>
      <c r="Q20" s="120"/>
      <c r="R20" s="120"/>
      <c r="S20" s="120"/>
      <c r="T20" s="120"/>
      <c r="U20" s="120"/>
      <c r="V20" s="120"/>
      <c r="W20" s="120"/>
      <c r="X20" s="120"/>
      <c r="Y20" s="120"/>
      <c r="Z20" s="120"/>
    </row>
    <row r="21" ht="19.5" customHeight="1">
      <c r="A21" s="198"/>
      <c r="B21" s="232"/>
      <c r="C21" s="99">
        <v>2.0</v>
      </c>
      <c r="D21" s="237"/>
      <c r="E21" s="152" t="str">
        <f t="array" ref="E21">IF(B21="","",IF(D21="","",IF('4. Compliance'!$B$4="Section 11 ECB",INDEX(Lists!$A$39:$D$40,(MATCH($D21,Lists!$A$39:$A$40,0)),(MATCH($B21,Lists!$A$39:$D$39,0))),INDEX(Lists!$F$39:$I$40,(MATCH($D21,Lists!$F$39:$F$40,0)),(MATCH($B21,Lists!$F$39:$I$39,0))))))</f>
        <v/>
      </c>
      <c r="F21" s="15"/>
      <c r="G21" s="15"/>
      <c r="H21" s="15"/>
      <c r="I21" s="112"/>
      <c r="J21" s="112"/>
      <c r="K21" s="234"/>
      <c r="L21" s="120"/>
      <c r="M21" s="120"/>
      <c r="N21" s="120"/>
      <c r="O21" s="120"/>
      <c r="P21" s="120"/>
      <c r="Q21" s="120"/>
      <c r="R21" s="120"/>
      <c r="S21" s="120"/>
      <c r="T21" s="120"/>
      <c r="U21" s="120"/>
      <c r="V21" s="120"/>
      <c r="W21" s="120"/>
      <c r="X21" s="120"/>
      <c r="Y21" s="120"/>
      <c r="Z21" s="120"/>
    </row>
    <row r="22" ht="27.0" customHeight="1">
      <c r="A22" s="99" t="s">
        <v>384</v>
      </c>
      <c r="B22" s="232"/>
      <c r="C22" s="99">
        <v>1.0</v>
      </c>
      <c r="D22" s="237"/>
      <c r="E22" s="152" t="str">
        <f t="array" ref="E22">IF(B22="","",IF(D22="","",IF('4. Compliance'!$B$4="Section 11 ECB",INDEX(Lists!$A$41:$D$44,(MATCH($D22,Lists!$A$41:$A$44,0)),(MATCH($B22,Lists!$A$41:$D$41,0))),INDEX(Lists!$F$41:$I$44,(MATCH($D22,Lists!$F$41:$F$44,0)),(MATCH($B22,Lists!$F$41:$I$41,0))))))</f>
        <v/>
      </c>
      <c r="F22" s="15"/>
      <c r="G22" s="15"/>
      <c r="H22" s="15"/>
      <c r="I22" s="112"/>
      <c r="J22" s="112"/>
      <c r="K22" s="234"/>
      <c r="L22" s="120"/>
      <c r="M22" s="120"/>
      <c r="N22" s="120"/>
      <c r="O22" s="120"/>
      <c r="P22" s="120"/>
      <c r="Q22" s="120"/>
      <c r="R22" s="120"/>
      <c r="S22" s="120"/>
      <c r="T22" s="120"/>
      <c r="U22" s="120"/>
      <c r="V22" s="120"/>
      <c r="W22" s="120"/>
      <c r="X22" s="120"/>
      <c r="Y22" s="120"/>
      <c r="Z22" s="120"/>
    </row>
    <row r="23" ht="21.0" customHeight="1">
      <c r="A23" s="99" t="s">
        <v>385</v>
      </c>
      <c r="B23" s="232" t="s">
        <v>361</v>
      </c>
      <c r="C23" s="99">
        <v>1.0</v>
      </c>
      <c r="D23" s="237" t="s">
        <v>386</v>
      </c>
      <c r="E23" s="152" t="str">
        <f t="array" ref="E23">IF(B23="","",IF(D23="","",IF('4. Compliance'!$B$4="Section 11 ECB",INDEX(Lists!$A$45:$D$47,(MATCH($D23,Lists!$A$45:$A$47,0)),(MATCH($B23,Lists!$A$45:$D$45,0))),INDEX(Lists!$F$45:$I$47,(MATCH($D23,Lists!$F$45:$F$47,0)),(MATCH($B23,Lists!$F$45:$I$45,0))))))</f>
        <v>F-0.730</v>
      </c>
      <c r="F23" s="242" t="s">
        <v>387</v>
      </c>
      <c r="G23" s="240">
        <v>0.73</v>
      </c>
      <c r="H23" s="240">
        <v>100.0</v>
      </c>
      <c r="I23" s="112" t="s">
        <v>374</v>
      </c>
      <c r="J23" s="112" t="s">
        <v>319</v>
      </c>
      <c r="K23" s="250"/>
      <c r="L23" s="120"/>
      <c r="M23" s="120"/>
      <c r="N23" s="120"/>
      <c r="O23" s="120"/>
      <c r="P23" s="120"/>
      <c r="Q23" s="120"/>
      <c r="R23" s="120"/>
      <c r="S23" s="120"/>
      <c r="T23" s="120"/>
      <c r="U23" s="120"/>
      <c r="V23" s="120"/>
      <c r="W23" s="120"/>
      <c r="X23" s="120"/>
      <c r="Y23" s="120"/>
      <c r="Z23" s="120"/>
    </row>
    <row r="24" ht="19.5" customHeight="1">
      <c r="A24" s="227" t="s">
        <v>388</v>
      </c>
      <c r="B24" s="232" t="s">
        <v>361</v>
      </c>
      <c r="C24" s="99">
        <v>1.0</v>
      </c>
      <c r="D24" s="237" t="s">
        <v>389</v>
      </c>
      <c r="E24" s="152" t="str">
        <f t="array" ref="E24">IF(B24="","",IF(D24="","",IF('4. Compliance'!$B$4="Section 11 ECB",INDEX(Lists!$A$48:$D$50,(MATCH($D24,Lists!$A$48:$A$50,0)),(MATCH($B24,Lists!$A$48:$D$48,0))),INDEX(Lists!$F$48:$I$50,(MATCH($D24,Lists!$F$48:$F$50,0)),(MATCH($B24,Lists!$F$48:$I$48,0))))))</f>
        <v>U-0.700</v>
      </c>
      <c r="F24" s="242" t="s">
        <v>390</v>
      </c>
      <c r="G24" s="240">
        <v>0.3</v>
      </c>
      <c r="H24" s="240">
        <v>1.0</v>
      </c>
      <c r="I24" s="112" t="s">
        <v>374</v>
      </c>
      <c r="J24" s="112" t="s">
        <v>319</v>
      </c>
      <c r="K24" s="234"/>
      <c r="L24" s="120"/>
      <c r="M24" s="120"/>
      <c r="N24" s="120"/>
      <c r="O24" s="120"/>
      <c r="P24" s="120"/>
      <c r="Q24" s="120"/>
      <c r="R24" s="120"/>
      <c r="S24" s="120"/>
      <c r="T24" s="120"/>
      <c r="U24" s="120"/>
      <c r="V24" s="120"/>
      <c r="W24" s="120"/>
      <c r="X24" s="120"/>
      <c r="Y24" s="120"/>
      <c r="Z24" s="120"/>
    </row>
    <row r="25" ht="19.5" customHeight="1">
      <c r="A25" s="198"/>
      <c r="B25" s="237"/>
      <c r="C25" s="99">
        <v>2.0</v>
      </c>
      <c r="D25" s="237"/>
      <c r="E25" s="152" t="str">
        <f t="array" ref="E25">IF(B25="","",IF(D25="","",IF('4. Compliance'!$B$4="Section 11 ECB",INDEX(Lists!$A$48:$D$50,(MATCH($D25,Lists!$A$48:$A$50,0)),(MATCH($B25,Lists!$A$48:$D$48,0))),INDEX(Lists!$F$48:$I$50,(MATCH($D25,Lists!$F$48:$F$50,0)),(MATCH($B25,Lists!$F$48:$I$48,0))))))</f>
        <v/>
      </c>
      <c r="F25" s="15"/>
      <c r="G25" s="15"/>
      <c r="H25" s="15"/>
      <c r="I25" s="109"/>
      <c r="J25" s="109"/>
      <c r="K25" s="234"/>
      <c r="L25" s="120"/>
      <c r="M25" s="120"/>
      <c r="N25" s="120"/>
      <c r="O25" s="120"/>
      <c r="P25" s="120"/>
      <c r="Q25" s="120"/>
      <c r="R25" s="120"/>
      <c r="S25" s="120"/>
      <c r="T25" s="120"/>
      <c r="U25" s="120"/>
      <c r="V25" s="120"/>
      <c r="W25" s="120"/>
      <c r="X25" s="120"/>
      <c r="Y25" s="120"/>
      <c r="Z25" s="120"/>
    </row>
    <row r="26" ht="58.5" customHeight="1">
      <c r="G26" s="251" t="s">
        <v>391</v>
      </c>
      <c r="H26" s="252">
        <f>IF(H10="","",IF(AND(((100-'6a. Ext. Wall Areas'!J13)/100)&lt;(SUM(H10:H19)+SUM(H10:H19)*0.01),((100-'6a. Ext. Wall Areas'!J13)/100)&gt;(SUM(H10:H19)-SUM(H10:H19)*0.01)),SUM(H10:H19),"Above grade % does not equal tab 6a."))</f>
        <v>0.7803420078</v>
      </c>
    </row>
    <row r="27" ht="15.75" customHeight="1">
      <c r="E27" s="253"/>
      <c r="F27" s="25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I4:I5"/>
    <mergeCell ref="J4:J5"/>
    <mergeCell ref="I8:I9"/>
    <mergeCell ref="J8:J9"/>
    <mergeCell ref="B4:B5"/>
    <mergeCell ref="B6:B7"/>
    <mergeCell ref="A10:A19"/>
    <mergeCell ref="A20:A21"/>
    <mergeCell ref="A24:A25"/>
    <mergeCell ref="C6:C7"/>
    <mergeCell ref="I6:I7"/>
    <mergeCell ref="A6:A9"/>
    <mergeCell ref="B8:B9"/>
    <mergeCell ref="C8:C9"/>
    <mergeCell ref="B2:J2"/>
    <mergeCell ref="A3:J3"/>
    <mergeCell ref="A4:A5"/>
    <mergeCell ref="C4:C5"/>
    <mergeCell ref="D4:E4"/>
    <mergeCell ref="F4:G4"/>
    <mergeCell ref="J6:J7"/>
  </mergeCells>
  <conditionalFormatting sqref="M11:Z11">
    <cfRule type="expression" dxfId="1" priority="1">
      <formula>"""ERROR"""</formula>
    </cfRule>
  </conditionalFormatting>
  <conditionalFormatting sqref="E10:E25">
    <cfRule type="expression" dxfId="1" priority="2">
      <formula>"ERROR"</formula>
    </cfRule>
  </conditionalFormatting>
  <conditionalFormatting sqref="I6:J7">
    <cfRule type="containsBlanks" dxfId="0" priority="3">
      <formula>LEN(TRIM(I6))=0</formula>
    </cfRule>
  </conditionalFormatting>
  <conditionalFormatting sqref="I10:J12 I20:J20 I23:J24">
    <cfRule type="containsBlanks" dxfId="0" priority="4">
      <formula>LEN(TRIM(I10))=0</formula>
    </cfRule>
  </conditionalFormatting>
  <conditionalFormatting sqref="I20:J20">
    <cfRule type="containsBlanks" dxfId="0" priority="5">
      <formula>LEN(TRIM(I20))=0</formula>
    </cfRule>
  </conditionalFormatting>
  <conditionalFormatting sqref="F24:J24">
    <cfRule type="containsBlanks" dxfId="0" priority="6">
      <formula>LEN(TRIM(F24))=0</formula>
    </cfRule>
  </conditionalFormatting>
  <conditionalFormatting sqref="F6:H6">
    <cfRule type="containsBlanks" dxfId="0" priority="7">
      <formula>LEN(TRIM(F6))=0</formula>
    </cfRule>
  </conditionalFormatting>
  <conditionalFormatting sqref="F10:H12">
    <cfRule type="containsBlanks" dxfId="0" priority="8">
      <formula>LEN(TRIM(F10))=0</formula>
    </cfRule>
  </conditionalFormatting>
  <conditionalFormatting sqref="F20:H20">
    <cfRule type="containsBlanks" dxfId="0" priority="9">
      <formula>LEN(TRIM(F20))=0</formula>
    </cfRule>
  </conditionalFormatting>
  <conditionalFormatting sqref="H26">
    <cfRule type="beginsWith" dxfId="1" priority="10" operator="beginsWith" text="Above">
      <formula>LEFT((H26),LEN("Above"))=("Above")</formula>
    </cfRule>
  </conditionalFormatting>
  <conditionalFormatting sqref="H26">
    <cfRule type="containsText" dxfId="1" priority="11" operator="containsText" text="&quot;WWR does not equal tab 6a.&quot;">
      <formula>NOT(ISERROR(SEARCH(("""WWR does not equal tab 6a."""),(H26))))</formula>
    </cfRule>
  </conditionalFormatting>
  <dataValidations>
    <dataValidation type="list" allowBlank="1" showErrorMessage="1" sqref="D23">
      <formula1>Slab</formula1>
    </dataValidation>
    <dataValidation type="list" allowBlank="1" showErrorMessage="1" sqref="D10:D19">
      <formula1>Wall_Type</formula1>
    </dataValidation>
    <dataValidation type="list" allowBlank="1" showErrorMessage="1" sqref="B6 B8 B10:B25">
      <formula1>Env_Type</formula1>
    </dataValidation>
    <dataValidation type="list" allowBlank="1" showErrorMessage="1" sqref="D20:D21">
      <formula1>Lists!$A$40</formula1>
    </dataValidation>
    <dataValidation type="list" allowBlank="1" showErrorMessage="1" sqref="D6 D8">
      <formula1>Roof_Type</formula1>
    </dataValidation>
    <dataValidation type="list" allowBlank="1" showErrorMessage="1" sqref="D24:D25">
      <formula1>Doors</formula1>
    </dataValidation>
    <dataValidation type="list" allowBlank="1" showErrorMessage="1" sqref="D22">
      <formula1>Floor</formula1>
    </dataValidation>
  </dataValidations>
  <printOptions/>
  <pageMargins bottom="0.48" footer="0.0" header="0.0" left="0.7" right="0.7" top="0.75"/>
  <pageSetup scale="96" orientation="landscape"/>
  <headerFooter>
    <oddFooter>&amp;LVersion 7&amp;RAugust 2023</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0.86"/>
    <col customWidth="1" min="3" max="3" width="3.86"/>
    <col customWidth="1" min="4" max="4" width="19.57"/>
    <col customWidth="1" min="5" max="5" width="8.43"/>
    <col customWidth="1" min="6" max="6" width="17.29"/>
    <col customWidth="1" min="7" max="8" width="8.57"/>
    <col customWidth="1" min="9" max="9" width="11.14"/>
    <col customWidth="1" min="10" max="10" width="11.43"/>
    <col customWidth="1" min="11" max="11" width="5.71"/>
    <col customWidth="1" min="12" max="26" width="8.71"/>
  </cols>
  <sheetData>
    <row r="2" ht="14.25" customHeight="1">
      <c r="A2" s="231" t="s">
        <v>358</v>
      </c>
      <c r="B2" s="225" t="s">
        <v>393</v>
      </c>
      <c r="C2" s="67"/>
      <c r="D2" s="67"/>
      <c r="E2" s="67"/>
      <c r="F2" s="67"/>
      <c r="G2" s="67"/>
      <c r="H2" s="67"/>
      <c r="I2" s="67"/>
      <c r="J2" s="67"/>
    </row>
    <row r="3" ht="14.25" customHeight="1">
      <c r="A3" s="88" t="str">
        <f>CONCATENATE("Compliance based on ",IF(Path="","",Path))</f>
        <v>Compliance based on Appendix G PRM</v>
      </c>
      <c r="B3" s="67"/>
      <c r="C3" s="67"/>
      <c r="D3" s="67"/>
      <c r="E3" s="67"/>
      <c r="F3" s="67"/>
      <c r="G3" s="67"/>
      <c r="H3" s="67"/>
      <c r="I3" s="67"/>
      <c r="J3" s="67"/>
    </row>
    <row r="4" ht="18.0" customHeight="1">
      <c r="A4" s="227" t="s">
        <v>349</v>
      </c>
      <c r="B4" s="227" t="s">
        <v>363</v>
      </c>
      <c r="C4" s="233" t="s">
        <v>351</v>
      </c>
      <c r="D4" s="124" t="s">
        <v>299</v>
      </c>
      <c r="E4" s="68"/>
      <c r="F4" s="124" t="s">
        <v>301</v>
      </c>
      <c r="G4" s="68"/>
      <c r="H4" s="228"/>
      <c r="I4" s="227" t="s">
        <v>364</v>
      </c>
      <c r="J4" s="227" t="s">
        <v>184</v>
      </c>
      <c r="K4" s="234"/>
      <c r="L4" s="120"/>
      <c r="M4" s="120"/>
      <c r="N4" s="120"/>
      <c r="O4" s="120"/>
      <c r="P4" s="120"/>
      <c r="Q4" s="120"/>
      <c r="R4" s="120"/>
      <c r="S4" s="120"/>
      <c r="T4" s="120"/>
      <c r="U4" s="120"/>
      <c r="V4" s="120"/>
      <c r="W4" s="120"/>
      <c r="X4" s="120"/>
      <c r="Y4" s="120"/>
      <c r="Z4" s="120"/>
    </row>
    <row r="5" ht="44.25" customHeight="1">
      <c r="A5" s="194"/>
      <c r="B5" s="198"/>
      <c r="C5" s="194"/>
      <c r="D5" s="97" t="s">
        <v>365</v>
      </c>
      <c r="E5" s="97" t="s">
        <v>366</v>
      </c>
      <c r="F5" s="97" t="s">
        <v>365</v>
      </c>
      <c r="G5" s="97" t="s">
        <v>367</v>
      </c>
      <c r="H5" s="97" t="s">
        <v>368</v>
      </c>
      <c r="I5" s="194"/>
      <c r="J5" s="194"/>
      <c r="K5" s="234"/>
      <c r="L5" s="120"/>
      <c r="M5" s="120"/>
      <c r="N5" s="120"/>
      <c r="O5" s="120"/>
      <c r="P5" s="120"/>
      <c r="Q5" s="120"/>
      <c r="R5" s="120"/>
      <c r="S5" s="120"/>
      <c r="T5" s="120"/>
      <c r="U5" s="120"/>
      <c r="V5" s="120"/>
      <c r="W5" s="120"/>
      <c r="X5" s="120"/>
      <c r="Y5" s="120"/>
      <c r="Z5" s="120"/>
    </row>
    <row r="6" ht="15.0" customHeight="1">
      <c r="A6" s="227" t="s">
        <v>369</v>
      </c>
      <c r="B6" s="256"/>
      <c r="C6" s="99">
        <v>1.0</v>
      </c>
      <c r="D6" s="237"/>
      <c r="E6" s="152" t="str">
        <f t="array" ref="E6">IF(B6="","",IF(D6="","",IF('4. Compliance'!$B$4="Section 11 ECB",INDEX(Lists!$A$30:$D$33,(MATCH($D6,Lists!$A$30:$A$33,0)),(MATCH($B6,Lists!$A$30:$D$30,0))),INDEX(Lists!$F$30:$I$33,(MATCH($D6,Lists!$F$30:$F$33,0)),(MATCH($B6,Lists!$F$30:$I$30,0))))))</f>
        <v/>
      </c>
      <c r="F6" s="109"/>
      <c r="G6" s="112"/>
      <c r="H6" s="246"/>
      <c r="I6" s="112"/>
      <c r="J6" s="112"/>
      <c r="K6" s="234"/>
      <c r="L6" s="120"/>
      <c r="M6" s="120"/>
      <c r="N6" s="120"/>
      <c r="O6" s="120"/>
      <c r="P6" s="120"/>
      <c r="Q6" s="120"/>
      <c r="R6" s="120"/>
      <c r="S6" s="120"/>
      <c r="T6" s="120"/>
      <c r="U6" s="120"/>
      <c r="V6" s="120"/>
      <c r="W6" s="120"/>
      <c r="X6" s="120"/>
      <c r="Y6" s="120"/>
      <c r="Z6" s="120"/>
    </row>
    <row r="7" ht="15.0" customHeight="1">
      <c r="A7" s="194"/>
      <c r="B7" s="256"/>
      <c r="C7" s="99">
        <v>2.0</v>
      </c>
      <c r="D7" s="237"/>
      <c r="E7" s="152" t="str">
        <f t="array" ref="E7">IF(B7="","",IF(D7="","",IF('4. Compliance'!$B$4="Section 11 ECB",INDEX(Lists!$A$30:$D$33,(MATCH($D7,Lists!$A$30:$A$33,0)),(MATCH($B7,Lists!$A$30:$D$30,0))),INDEX(Lists!$F$30:$I$33,(MATCH($D7,Lists!$F$30:$F$33,0)),(MATCH($B7,Lists!$F$30:$I$30,0))))))</f>
        <v/>
      </c>
      <c r="F7" s="109"/>
      <c r="G7" s="112"/>
      <c r="H7" s="246"/>
      <c r="I7" s="112"/>
      <c r="J7" s="112"/>
      <c r="K7" s="234"/>
      <c r="L7" s="120"/>
      <c r="M7" s="120"/>
      <c r="N7" s="120"/>
      <c r="O7" s="120"/>
      <c r="P7" s="120"/>
      <c r="Q7" s="120"/>
      <c r="R7" s="120"/>
      <c r="S7" s="120"/>
      <c r="T7" s="120"/>
      <c r="U7" s="120"/>
      <c r="V7" s="120"/>
      <c r="W7" s="120"/>
      <c r="X7" s="120"/>
      <c r="Y7" s="120"/>
      <c r="Z7" s="120"/>
    </row>
    <row r="8" ht="15.0" customHeight="1">
      <c r="A8" s="194"/>
      <c r="B8" s="256"/>
      <c r="C8" s="99">
        <v>3.0</v>
      </c>
      <c r="D8" s="237"/>
      <c r="E8" s="152" t="str">
        <f t="array" ref="E8">IF(B8="","",IF(D8="","",IF('4. Compliance'!$B$4="Section 11 ECB",INDEX(Lists!$A$30:$D$33,(MATCH($D8,Lists!$A$30:$A$33,0)),(MATCH($B8,Lists!$A$30:$D$30,0))),INDEX(Lists!$F$30:$I$33,(MATCH($D8,Lists!$F$30:$F$33,0)),(MATCH($B8,Lists!$F$30:$I$30,0))))))</f>
        <v/>
      </c>
      <c r="F8" s="109"/>
      <c r="G8" s="112"/>
      <c r="H8" s="246"/>
      <c r="I8" s="112"/>
      <c r="J8" s="112"/>
      <c r="K8" s="234"/>
      <c r="L8" s="120"/>
      <c r="M8" s="120"/>
      <c r="N8" s="120"/>
      <c r="O8" s="120"/>
      <c r="P8" s="120"/>
      <c r="Q8" s="120"/>
      <c r="R8" s="120"/>
      <c r="S8" s="120"/>
      <c r="T8" s="120"/>
      <c r="U8" s="120"/>
      <c r="V8" s="120"/>
      <c r="W8" s="120"/>
      <c r="X8" s="120"/>
      <c r="Y8" s="120"/>
      <c r="Z8" s="120"/>
    </row>
    <row r="9" ht="15.0" customHeight="1">
      <c r="A9" s="194"/>
      <c r="B9" s="256"/>
      <c r="C9" s="99">
        <v>4.0</v>
      </c>
      <c r="D9" s="237"/>
      <c r="E9" s="152" t="str">
        <f t="array" ref="E9">IF(B9="","",IF(D9="","",IF('4. Compliance'!$B$4="Section 11 ECB",INDEX(Lists!$A$30:$D$33,(MATCH($D9,Lists!$A$30:$A$33,0)),(MATCH($B9,Lists!$A$30:$D$30,0))),INDEX(Lists!$F$30:$I$33,(MATCH($D9,Lists!$F$30:$F$33,0)),(MATCH($B9,Lists!$F$30:$I$30,0))))))</f>
        <v/>
      </c>
      <c r="F9" s="109"/>
      <c r="G9" s="112"/>
      <c r="H9" s="246"/>
      <c r="I9" s="112"/>
      <c r="J9" s="112"/>
      <c r="K9" s="234"/>
      <c r="L9" s="120"/>
      <c r="M9" s="120"/>
      <c r="N9" s="120"/>
      <c r="O9" s="120"/>
      <c r="P9" s="120"/>
      <c r="Q9" s="120"/>
      <c r="R9" s="120"/>
      <c r="S9" s="120"/>
      <c r="T9" s="120"/>
      <c r="U9" s="120"/>
      <c r="V9" s="120"/>
      <c r="W9" s="120"/>
      <c r="X9" s="120"/>
      <c r="Y9" s="120"/>
      <c r="Z9" s="120"/>
    </row>
    <row r="10" ht="15.0" customHeight="1">
      <c r="A10" s="194"/>
      <c r="B10" s="256"/>
      <c r="C10" s="99">
        <v>5.0</v>
      </c>
      <c r="D10" s="237"/>
      <c r="E10" s="152" t="str">
        <f t="array" ref="E10">IF(B10="","",IF(D10="","",IF('4. Compliance'!$B$4="Section 11 ECB",INDEX(Lists!$A$30:$D$33,(MATCH($D10,Lists!$A$30:$A$33,0)),(MATCH($B10,Lists!$A$30:$D$30,0))),INDEX(Lists!$F$30:$I$33,(MATCH($D10,Lists!$F$30:$F$33,0)),(MATCH($B10,Lists!$F$30:$I$30,0))))))</f>
        <v/>
      </c>
      <c r="F10" s="109"/>
      <c r="G10" s="112"/>
      <c r="H10" s="246"/>
      <c r="I10" s="112"/>
      <c r="J10" s="112"/>
      <c r="K10" s="234"/>
      <c r="L10" s="120"/>
      <c r="M10" s="120"/>
      <c r="N10" s="120"/>
      <c r="O10" s="120"/>
      <c r="P10" s="120"/>
      <c r="Q10" s="120"/>
      <c r="R10" s="120"/>
      <c r="S10" s="120"/>
      <c r="T10" s="120"/>
      <c r="U10" s="120"/>
      <c r="V10" s="120"/>
      <c r="W10" s="120"/>
      <c r="X10" s="120"/>
      <c r="Y10" s="120"/>
      <c r="Z10" s="120"/>
    </row>
    <row r="11" ht="15.0" customHeight="1">
      <c r="A11" s="194"/>
      <c r="B11" s="256"/>
      <c r="C11" s="99">
        <v>6.0</v>
      </c>
      <c r="D11" s="237"/>
      <c r="E11" s="152" t="str">
        <f t="array" ref="E11">IF(B11="","",IF(D11="","",IF('4. Compliance'!$B$4="Section 11 ECB",INDEX(Lists!$A$30:$D$33,(MATCH($D11,Lists!$A$30:$A$33,0)),(MATCH($B11,Lists!$A$30:$D$30,0))),INDEX(Lists!$F$30:$I$33,(MATCH($D11,Lists!$F$30:$F$33,0)),(MATCH($B11,Lists!$F$30:$I$30,0))))))</f>
        <v/>
      </c>
      <c r="F11" s="109"/>
      <c r="G11" s="112"/>
      <c r="H11" s="246"/>
      <c r="I11" s="112"/>
      <c r="J11" s="112"/>
      <c r="K11" s="234"/>
      <c r="L11" s="120"/>
      <c r="M11" s="120"/>
      <c r="N11" s="120"/>
      <c r="O11" s="120"/>
      <c r="P11" s="120"/>
      <c r="Q11" s="120"/>
      <c r="R11" s="120"/>
      <c r="S11" s="120"/>
      <c r="T11" s="120"/>
      <c r="U11" s="120"/>
      <c r="V11" s="120"/>
      <c r="W11" s="120"/>
      <c r="X11" s="120"/>
      <c r="Y11" s="120"/>
      <c r="Z11" s="120"/>
    </row>
    <row r="12" ht="15.0" customHeight="1">
      <c r="A12" s="198"/>
      <c r="B12" s="256"/>
      <c r="C12" s="99">
        <v>7.0</v>
      </c>
      <c r="D12" s="237"/>
      <c r="E12" s="152" t="str">
        <f t="array" ref="E12">IF(B12="","",IF(D12="","",IF('4. Compliance'!$B$4="Section 11 ECB",INDEX(Lists!$A$30:$D$33,(MATCH($D12,Lists!$A$30:$A$33,0)),(MATCH($B12,Lists!$A$30:$D$30,0))),INDEX(Lists!$F$30:$I$33,(MATCH($D12,Lists!$F$30:$F$33,0)),(MATCH($B12,Lists!$F$30:$I$30,0))))))</f>
        <v/>
      </c>
      <c r="F12" s="109"/>
      <c r="G12" s="112"/>
      <c r="H12" s="246"/>
      <c r="I12" s="112"/>
      <c r="J12" s="112"/>
      <c r="K12" s="234"/>
      <c r="L12" s="120"/>
      <c r="M12" s="120"/>
      <c r="N12" s="120"/>
      <c r="O12" s="120"/>
      <c r="P12" s="120"/>
      <c r="Q12" s="120"/>
      <c r="R12" s="120"/>
      <c r="S12" s="120"/>
      <c r="T12" s="120"/>
      <c r="U12" s="120"/>
      <c r="V12" s="120"/>
      <c r="W12" s="120"/>
      <c r="X12" s="120"/>
      <c r="Y12" s="120"/>
      <c r="Z12" s="120"/>
    </row>
    <row r="13" ht="15.0" customHeight="1">
      <c r="A13" s="274" t="s">
        <v>412</v>
      </c>
      <c r="B13" s="256"/>
      <c r="C13" s="275">
        <v>1.0</v>
      </c>
      <c r="D13" s="276"/>
      <c r="E13" s="152" t="str">
        <f t="array" ref="E13">IF(B13="","",IF(D13="","",IF('4. Compliance'!$B$4="Section 11 ECB",INDEX(Lists!$A$34:$D$38,(MATCH($D13,Lists!$A$34:$A$38,0)),(MATCH($B13,Lists!$A$34:$D$34,0))),INDEX(Lists!$F$34:$I$38,(MATCH($D13,Lists!$F$34:$F$38,0)),(MATCH($B13,Lists!$F$34:$I$34,0))))))</f>
        <v/>
      </c>
      <c r="F13" s="109"/>
      <c r="G13" s="112"/>
      <c r="H13" s="246"/>
      <c r="I13" s="112"/>
      <c r="J13" s="278"/>
      <c r="K13" s="234"/>
      <c r="L13" s="120"/>
      <c r="M13" s="120"/>
      <c r="N13" s="120"/>
      <c r="O13" s="120"/>
      <c r="P13" s="120"/>
      <c r="Q13" s="120"/>
      <c r="R13" s="120"/>
      <c r="S13" s="120"/>
      <c r="T13" s="120"/>
      <c r="U13" s="120"/>
      <c r="V13" s="120"/>
      <c r="W13" s="120"/>
      <c r="X13" s="120"/>
      <c r="Y13" s="120"/>
      <c r="Z13" s="120"/>
    </row>
    <row r="14" ht="15.0" customHeight="1">
      <c r="A14" s="280"/>
      <c r="B14" s="232"/>
      <c r="C14" s="99">
        <v>2.0</v>
      </c>
      <c r="D14" s="237"/>
      <c r="E14" s="152" t="str">
        <f t="array" ref="E14">IF(B14="","",IF(D14="","",IF('4. Compliance'!$B$4="Section 11 ECB",INDEX(Lists!$A$34:$D$38,(MATCH($D14,Lists!$A$34:$A$38,0)),(MATCH($B14,Lists!$A$34:$D$34,0))),INDEX(Lists!$F$34:$I$38,(MATCH($D14,Lists!$F$34:$F$38,0)),(MATCH($B14,Lists!$F$34:$I$34,0))))))</f>
        <v/>
      </c>
      <c r="F14" s="109"/>
      <c r="G14" s="112"/>
      <c r="H14" s="246"/>
      <c r="I14" s="112"/>
      <c r="J14" s="112"/>
      <c r="K14" s="234"/>
      <c r="L14" s="120"/>
      <c r="M14" s="120"/>
      <c r="N14" s="120"/>
      <c r="O14" s="120"/>
      <c r="P14" s="120"/>
      <c r="Q14" s="120"/>
      <c r="R14" s="120"/>
      <c r="S14" s="120"/>
      <c r="T14" s="120"/>
      <c r="U14" s="120"/>
      <c r="V14" s="120"/>
      <c r="W14" s="120"/>
      <c r="X14" s="120"/>
      <c r="Y14" s="120"/>
      <c r="Z14" s="120"/>
    </row>
    <row r="15" ht="15.0" customHeight="1">
      <c r="A15" s="280"/>
      <c r="B15" s="232"/>
      <c r="C15" s="99">
        <v>3.0</v>
      </c>
      <c r="D15" s="237"/>
      <c r="E15" s="152" t="str">
        <f t="array" ref="E15">IF(B15="","",IF(D15="","",IF('4. Compliance'!$B$4="Section 11 ECB",INDEX(Lists!$A$34:$D$38,(MATCH($D15,Lists!$A$34:$A$38,0)),(MATCH($B15,Lists!$A$34:$D$34,0))),INDEX(Lists!$F$34:$I$38,(MATCH($D15,Lists!$F$34:$F$38,0)),(MATCH($B15,Lists!$F$34:$I$34,0))))))</f>
        <v/>
      </c>
      <c r="F15" s="109"/>
      <c r="G15" s="112"/>
      <c r="H15" s="246"/>
      <c r="I15" s="112"/>
      <c r="J15" s="112"/>
      <c r="K15" s="234"/>
      <c r="L15" s="120"/>
      <c r="M15" s="120"/>
      <c r="N15" s="120"/>
      <c r="O15" s="120"/>
      <c r="P15" s="120"/>
      <c r="Q15" s="120"/>
      <c r="R15" s="120"/>
      <c r="S15" s="120"/>
      <c r="T15" s="120"/>
      <c r="U15" s="120"/>
      <c r="V15" s="120"/>
      <c r="W15" s="120"/>
      <c r="X15" s="120"/>
      <c r="Y15" s="120"/>
      <c r="Z15" s="120"/>
    </row>
    <row r="16" ht="15.0" customHeight="1">
      <c r="A16" s="280"/>
      <c r="B16" s="232"/>
      <c r="C16" s="99">
        <v>4.0</v>
      </c>
      <c r="D16" s="237"/>
      <c r="E16" s="152" t="str">
        <f t="array" ref="E16">IF(B16="","",IF(D16="","",IF('4. Compliance'!$B$4="Section 11 ECB",INDEX(Lists!$A$34:$D$38,(MATCH($D16,Lists!$A$34:$A$38,0)),(MATCH($B16,Lists!$A$34:$D$34,0))),INDEX(Lists!$F$34:$I$38,(MATCH($D16,Lists!$F$34:$F$38,0)),(MATCH($B16,Lists!$F$34:$I$34,0))))))</f>
        <v/>
      </c>
      <c r="F16" s="109"/>
      <c r="G16" s="112"/>
      <c r="H16" s="246"/>
      <c r="I16" s="112"/>
      <c r="J16" s="112"/>
      <c r="K16" s="234"/>
      <c r="L16" s="120"/>
      <c r="M16" s="120"/>
      <c r="N16" s="120"/>
      <c r="O16" s="120"/>
      <c r="P16" s="120"/>
      <c r="Q16" s="120"/>
      <c r="R16" s="120"/>
      <c r="S16" s="120"/>
      <c r="T16" s="120"/>
      <c r="U16" s="120"/>
      <c r="V16" s="120"/>
      <c r="W16" s="120"/>
      <c r="X16" s="120"/>
      <c r="Y16" s="120"/>
      <c r="Z16" s="120"/>
    </row>
    <row r="17" ht="15.0" customHeight="1">
      <c r="A17" s="280"/>
      <c r="B17" s="232"/>
      <c r="C17" s="99">
        <v>5.0</v>
      </c>
      <c r="D17" s="237"/>
      <c r="E17" s="152" t="str">
        <f t="array" ref="E17">IF(B17="","",IF(D17="","",IF('4. Compliance'!$B$4="Section 11 ECB",INDEX(Lists!$A$34:$D$38,(MATCH($D17,Lists!$A$34:$A$38,0)),(MATCH($B17,Lists!$A$34:$D$34,0))),INDEX(Lists!$F$34:$I$38,(MATCH($D17,Lists!$F$34:$F$38,0)),(MATCH($B17,Lists!$F$34:$I$34,0))))))</f>
        <v/>
      </c>
      <c r="F17" s="109"/>
      <c r="G17" s="112"/>
      <c r="H17" s="246"/>
      <c r="I17" s="112"/>
      <c r="J17" s="112"/>
      <c r="K17" s="234"/>
      <c r="L17" s="120"/>
      <c r="M17" s="120"/>
      <c r="N17" s="120"/>
      <c r="O17" s="120"/>
      <c r="P17" s="120"/>
      <c r="Q17" s="120"/>
      <c r="R17" s="120"/>
      <c r="S17" s="120"/>
      <c r="T17" s="120"/>
      <c r="U17" s="120"/>
      <c r="V17" s="120"/>
      <c r="W17" s="120"/>
      <c r="X17" s="120"/>
      <c r="Y17" s="120"/>
      <c r="Z17" s="120"/>
    </row>
    <row r="18" ht="15.0" customHeight="1">
      <c r="A18" s="280"/>
      <c r="B18" s="232"/>
      <c r="C18" s="99">
        <v>6.0</v>
      </c>
      <c r="D18" s="237"/>
      <c r="E18" s="152" t="str">
        <f t="array" ref="E18">IF(B18="","",IF(D18="","",IF('4. Compliance'!$B$4="Section 11 ECB",INDEX(Lists!$A$34:$D$38,(MATCH($D18,Lists!$A$34:$A$38,0)),(MATCH($B18,Lists!$A$34:$D$34,0))),INDEX(Lists!$F$34:$I$38,(MATCH($D18,Lists!$F$34:$F$38,0)),(MATCH($B18,Lists!$F$34:$I$34,0))))))</f>
        <v/>
      </c>
      <c r="F18" s="109"/>
      <c r="G18" s="112"/>
      <c r="H18" s="246"/>
      <c r="I18" s="112"/>
      <c r="J18" s="112"/>
      <c r="K18" s="234"/>
      <c r="L18" s="120"/>
      <c r="M18" s="120"/>
      <c r="N18" s="120"/>
      <c r="O18" s="120"/>
      <c r="P18" s="120"/>
      <c r="Q18" s="120"/>
      <c r="R18" s="120"/>
      <c r="S18" s="120"/>
      <c r="T18" s="120"/>
      <c r="U18" s="120"/>
      <c r="V18" s="120"/>
      <c r="W18" s="120"/>
      <c r="X18" s="120"/>
      <c r="Y18" s="120"/>
      <c r="Z18" s="120"/>
    </row>
    <row r="19" ht="15.0" customHeight="1">
      <c r="A19" s="280"/>
      <c r="B19" s="232"/>
      <c r="C19" s="99">
        <v>7.0</v>
      </c>
      <c r="D19" s="237"/>
      <c r="E19" s="152" t="str">
        <f t="array" ref="E19">IF(B19="","",IF(D19="","",IF('4. Compliance'!$B$4="Section 11 ECB",INDEX(Lists!$A$34:$D$38,(MATCH($D19,Lists!$A$34:$A$38,0)),(MATCH($B19,Lists!$A$34:$D$34,0))),INDEX(Lists!$F$34:$I$38,(MATCH($D19,Lists!$F$34:$F$38,0)),(MATCH($B19,Lists!$F$34:$I$34,0))))))</f>
        <v/>
      </c>
      <c r="F19" s="109"/>
      <c r="G19" s="112"/>
      <c r="H19" s="246"/>
      <c r="I19" s="112"/>
      <c r="J19" s="112"/>
      <c r="K19" s="234"/>
      <c r="L19" s="120"/>
      <c r="M19" s="120"/>
      <c r="N19" s="120"/>
      <c r="O19" s="120"/>
      <c r="P19" s="120"/>
      <c r="Q19" s="120"/>
      <c r="R19" s="120"/>
      <c r="S19" s="120"/>
      <c r="T19" s="120"/>
      <c r="U19" s="120"/>
      <c r="V19" s="120"/>
      <c r="W19" s="120"/>
      <c r="X19" s="120"/>
      <c r="Y19" s="120"/>
      <c r="Z19" s="120"/>
    </row>
    <row r="20" ht="15.0" customHeight="1">
      <c r="A20" s="280"/>
      <c r="B20" s="232"/>
      <c r="C20" s="99">
        <v>8.0</v>
      </c>
      <c r="D20" s="237"/>
      <c r="E20" s="152" t="str">
        <f t="array" ref="E20">IF(B20="","",IF(D20="","",IF('4. Compliance'!$B$4="Section 11 ECB",INDEX(Lists!$A$34:$D$38,(MATCH($D20,Lists!$A$34:$A$38,0)),(MATCH($B20,Lists!$A$34:$D$34,0))),INDEX(Lists!$F$34:$I$38,(MATCH($D20,Lists!$F$34:$F$38,0)),(MATCH($B20,Lists!$F$34:$I$34,0))))))</f>
        <v/>
      </c>
      <c r="F20" s="109"/>
      <c r="G20" s="112"/>
      <c r="H20" s="246"/>
      <c r="I20" s="112"/>
      <c r="J20" s="112"/>
      <c r="K20" s="234"/>
      <c r="L20" s="120"/>
      <c r="M20" s="120"/>
      <c r="N20" s="120"/>
      <c r="O20" s="120"/>
      <c r="P20" s="120"/>
      <c r="Q20" s="120"/>
      <c r="R20" s="120"/>
      <c r="S20" s="120"/>
      <c r="T20" s="120"/>
      <c r="U20" s="120"/>
      <c r="V20" s="120"/>
      <c r="W20" s="120"/>
      <c r="X20" s="120"/>
      <c r="Y20" s="120"/>
      <c r="Z20" s="120"/>
    </row>
    <row r="21" ht="15.0" customHeight="1">
      <c r="A21" s="280"/>
      <c r="B21" s="232"/>
      <c r="C21" s="99">
        <v>9.0</v>
      </c>
      <c r="D21" s="237"/>
      <c r="E21" s="152" t="str">
        <f t="array" ref="E21">IF(B21="","",IF(D21="","",IF('4. Compliance'!$B$4="Section 11 ECB",INDEX(Lists!$A$34:$D$38,(MATCH($D21,Lists!$A$34:$A$38,0)),(MATCH($B21,Lists!$A$34:$D$34,0))),INDEX(Lists!$F$34:$I$38,(MATCH($D21,Lists!$F$34:$F$38,0)),(MATCH($B21,Lists!$F$34:$I$34,0))))))</f>
        <v/>
      </c>
      <c r="F21" s="109"/>
      <c r="G21" s="112"/>
      <c r="H21" s="246"/>
      <c r="I21" s="112"/>
      <c r="J21" s="112"/>
      <c r="K21" s="234"/>
      <c r="L21" s="120"/>
      <c r="M21" s="120"/>
      <c r="N21" s="120"/>
      <c r="O21" s="120"/>
      <c r="P21" s="120"/>
      <c r="Q21" s="120"/>
      <c r="R21" s="120"/>
      <c r="S21" s="120"/>
      <c r="T21" s="120"/>
      <c r="U21" s="120"/>
      <c r="V21" s="120"/>
      <c r="W21" s="120"/>
      <c r="X21" s="120"/>
      <c r="Y21" s="120"/>
      <c r="Z21" s="120"/>
    </row>
    <row r="22" ht="15.0" customHeight="1">
      <c r="A22" s="280"/>
      <c r="B22" s="232"/>
      <c r="C22" s="99">
        <v>10.0</v>
      </c>
      <c r="D22" s="237"/>
      <c r="E22" s="152" t="str">
        <f t="array" ref="E22">IF(B22="","",IF(D22="","",IF('4. Compliance'!$B$4="Section 11 ECB",INDEX(Lists!$A$34:$D$38,(MATCH($D22,Lists!$A$34:$A$38,0)),(MATCH($B22,Lists!$A$34:$D$34,0))),INDEX(Lists!$F$34:$I$38,(MATCH($D22,Lists!$F$34:$F$38,0)),(MATCH($B22,Lists!$F$34:$I$34,0))))))</f>
        <v/>
      </c>
      <c r="F22" s="109"/>
      <c r="G22" s="112"/>
      <c r="H22" s="246"/>
      <c r="I22" s="112"/>
      <c r="J22" s="112"/>
      <c r="K22" s="234"/>
      <c r="L22" s="120"/>
      <c r="M22" s="120"/>
      <c r="N22" s="120"/>
      <c r="O22" s="120"/>
      <c r="P22" s="120"/>
      <c r="Q22" s="120"/>
      <c r="R22" s="120"/>
      <c r="S22" s="120"/>
      <c r="T22" s="120"/>
      <c r="U22" s="120"/>
      <c r="V22" s="120"/>
      <c r="W22" s="120"/>
      <c r="X22" s="120"/>
      <c r="Y22" s="120"/>
      <c r="Z22" s="120"/>
    </row>
    <row r="23" ht="15.0" customHeight="1">
      <c r="A23" s="280"/>
      <c r="B23" s="232"/>
      <c r="C23" s="99">
        <v>11.0</v>
      </c>
      <c r="D23" s="237"/>
      <c r="E23" s="152" t="str">
        <f t="array" ref="E23">IF(B23="","",IF(D23="","",IF('4. Compliance'!$B$4="Section 11 ECB",INDEX(Lists!$A$34:$D$38,(MATCH($D23,Lists!$A$34:$A$38,0)),(MATCH($B23,Lists!$A$34:$D$34,0))),INDEX(Lists!$F$34:$I$38,(MATCH($D23,Lists!$F$34:$F$38,0)),(MATCH($B23,Lists!$F$34:$I$34,0))))))</f>
        <v/>
      </c>
      <c r="F23" s="109"/>
      <c r="G23" s="112"/>
      <c r="H23" s="246"/>
      <c r="I23" s="112"/>
      <c r="J23" s="112"/>
      <c r="K23" s="234"/>
      <c r="L23" s="120"/>
      <c r="M23" s="120"/>
      <c r="N23" s="120"/>
      <c r="O23" s="120"/>
      <c r="P23" s="120"/>
      <c r="Q23" s="120"/>
      <c r="R23" s="120"/>
      <c r="S23" s="120"/>
      <c r="T23" s="120"/>
      <c r="U23" s="120"/>
      <c r="V23" s="120"/>
      <c r="W23" s="120"/>
      <c r="X23" s="120"/>
      <c r="Y23" s="120"/>
      <c r="Z23" s="120"/>
    </row>
    <row r="24" ht="15.0" customHeight="1">
      <c r="A24" s="280"/>
      <c r="B24" s="232"/>
      <c r="C24" s="99">
        <v>12.0</v>
      </c>
      <c r="D24" s="237"/>
      <c r="E24" s="152" t="str">
        <f t="array" ref="E24">IF(B24="","",IF(D24="","",IF('4. Compliance'!$B$4="Section 11 ECB",INDEX(Lists!$A$34:$D$38,(MATCH($D24,Lists!$A$34:$A$38,0)),(MATCH($B24,Lists!$A$34:$D$34,0))),INDEX(Lists!$F$34:$I$38,(MATCH($D24,Lists!$F$34:$F$38,0)),(MATCH($B24,Lists!$F$34:$I$34,0))))))</f>
        <v/>
      </c>
      <c r="F24" s="109"/>
      <c r="G24" s="112"/>
      <c r="H24" s="246"/>
      <c r="I24" s="112"/>
      <c r="J24" s="112"/>
      <c r="K24" s="234"/>
      <c r="L24" s="120"/>
      <c r="M24" s="120"/>
      <c r="N24" s="120"/>
      <c r="O24" s="120"/>
      <c r="P24" s="120"/>
      <c r="Q24" s="120"/>
      <c r="R24" s="120"/>
      <c r="S24" s="120"/>
      <c r="T24" s="120"/>
      <c r="U24" s="120"/>
      <c r="V24" s="120"/>
      <c r="W24" s="120"/>
      <c r="X24" s="120"/>
      <c r="Y24" s="120"/>
      <c r="Z24" s="120"/>
    </row>
    <row r="25" ht="15.0" customHeight="1">
      <c r="A25" s="280"/>
      <c r="B25" s="232"/>
      <c r="C25" s="99">
        <v>13.0</v>
      </c>
      <c r="D25" s="237"/>
      <c r="E25" s="152" t="str">
        <f t="array" ref="E25">IF(B25="","",IF(D25="","",IF('4. Compliance'!$B$4="Section 11 ECB",INDEX(Lists!$A$34:$D$38,(MATCH($D25,Lists!$A$34:$A$38,0)),(MATCH($B25,Lists!$A$34:$D$34,0))),INDEX(Lists!$F$34:$I$38,(MATCH($D25,Lists!$F$34:$F$38,0)),(MATCH($B25,Lists!$F$34:$I$34,0))))))</f>
        <v/>
      </c>
      <c r="F25" s="109"/>
      <c r="G25" s="112"/>
      <c r="H25" s="246"/>
      <c r="I25" s="112"/>
      <c r="J25" s="112"/>
      <c r="K25" s="234"/>
      <c r="L25" s="120"/>
      <c r="M25" s="120"/>
      <c r="N25" s="120"/>
      <c r="O25" s="120"/>
      <c r="P25" s="120"/>
      <c r="Q25" s="120"/>
      <c r="R25" s="120"/>
      <c r="S25" s="120"/>
      <c r="T25" s="120"/>
      <c r="U25" s="120"/>
      <c r="V25" s="120"/>
      <c r="W25" s="120"/>
      <c r="X25" s="120"/>
      <c r="Y25" s="120"/>
      <c r="Z25" s="120"/>
    </row>
    <row r="26" ht="15.0" customHeight="1">
      <c r="A26" s="280"/>
      <c r="B26" s="232"/>
      <c r="C26" s="99">
        <v>14.0</v>
      </c>
      <c r="D26" s="237"/>
      <c r="E26" s="152" t="str">
        <f t="array" ref="E26">IF(B26="","",IF(D26="","",IF('4. Compliance'!$B$4="Section 11 ECB",INDEX(Lists!$A$34:$D$38,(MATCH($D26,Lists!$A$34:$A$38,0)),(MATCH($B26,Lists!$A$34:$D$34,0))),INDEX(Lists!$F$34:$I$38,(MATCH($D26,Lists!$F$34:$F$38,0)),(MATCH($B26,Lists!$F$34:$I$34,0))))))</f>
        <v/>
      </c>
      <c r="F26" s="109"/>
      <c r="G26" s="112"/>
      <c r="H26" s="246"/>
      <c r="I26" s="112"/>
      <c r="J26" s="112"/>
      <c r="K26" s="250"/>
      <c r="L26" s="120"/>
      <c r="M26" s="120"/>
      <c r="N26" s="120"/>
      <c r="O26" s="120"/>
      <c r="P26" s="120"/>
      <c r="Q26" s="120"/>
      <c r="R26" s="120"/>
      <c r="S26" s="120"/>
      <c r="T26" s="120"/>
      <c r="U26" s="120"/>
      <c r="V26" s="120"/>
      <c r="W26" s="120"/>
      <c r="X26" s="120"/>
      <c r="Y26" s="120"/>
      <c r="Z26" s="120"/>
    </row>
    <row r="27" ht="15.0" customHeight="1">
      <c r="A27" s="280"/>
      <c r="B27" s="232"/>
      <c r="C27" s="99">
        <v>15.0</v>
      </c>
      <c r="D27" s="237"/>
      <c r="E27" s="152" t="str">
        <f t="array" ref="E27">IF(B27="","",IF(D27="","",IF('4. Compliance'!$B$4="Section 11 ECB",INDEX(Lists!$A$34:$D$38,(MATCH($D27,Lists!$A$34:$A$38,0)),(MATCH($B27,Lists!$A$34:$D$34,0))),INDEX(Lists!$F$34:$I$38,(MATCH($D27,Lists!$F$34:$F$38,0)),(MATCH($B27,Lists!$F$34:$I$34,0))))))</f>
        <v/>
      </c>
      <c r="F27" s="109"/>
      <c r="G27" s="112"/>
      <c r="H27" s="246"/>
      <c r="I27" s="112"/>
      <c r="J27" s="112"/>
      <c r="K27" s="234"/>
      <c r="L27" s="120"/>
      <c r="M27" s="120"/>
      <c r="N27" s="120"/>
      <c r="O27" s="120"/>
      <c r="P27" s="120"/>
      <c r="Q27" s="120"/>
      <c r="R27" s="120"/>
      <c r="S27" s="120"/>
      <c r="T27" s="120"/>
      <c r="U27" s="120"/>
      <c r="V27" s="120"/>
      <c r="W27" s="120"/>
      <c r="X27" s="120"/>
      <c r="Y27" s="120"/>
      <c r="Z27" s="120"/>
    </row>
    <row r="28" ht="15.0" customHeight="1">
      <c r="A28" s="280"/>
      <c r="B28" s="232"/>
      <c r="C28" s="99">
        <v>16.0</v>
      </c>
      <c r="D28" s="237"/>
      <c r="E28" s="152" t="str">
        <f t="array" ref="E28">IF(B28="","",IF(D28="","",IF('4. Compliance'!$B$4="Section 11 ECB",INDEX(Lists!$A$34:$D$38,(MATCH($D28,Lists!$A$34:$A$38,0)),(MATCH($B28,Lists!$A$34:$D$34,0))),INDEX(Lists!$F$34:$I$38,(MATCH($D28,Lists!$F$34:$F$38,0)),(MATCH($B28,Lists!$F$34:$I$34,0))))))</f>
        <v/>
      </c>
      <c r="F28" s="109"/>
      <c r="G28" s="112"/>
      <c r="H28" s="246"/>
      <c r="I28" s="112"/>
      <c r="J28" s="112"/>
      <c r="K28" s="234"/>
      <c r="L28" s="120"/>
      <c r="M28" s="120"/>
      <c r="N28" s="120"/>
      <c r="O28" s="120"/>
      <c r="P28" s="120"/>
      <c r="Q28" s="120"/>
      <c r="R28" s="120"/>
      <c r="S28" s="120"/>
      <c r="T28" s="120"/>
      <c r="U28" s="120"/>
      <c r="V28" s="120"/>
      <c r="W28" s="120"/>
      <c r="X28" s="120"/>
      <c r="Y28" s="120"/>
      <c r="Z28" s="120"/>
    </row>
    <row r="29" ht="15.0" customHeight="1">
      <c r="A29" s="280"/>
      <c r="B29" s="232"/>
      <c r="C29" s="99">
        <v>17.0</v>
      </c>
      <c r="D29" s="237"/>
      <c r="E29" s="152" t="str">
        <f t="array" ref="E29">IF(B29="","",IF(D29="","",IF('4. Compliance'!$B$4="Section 11 ECB",INDEX(Lists!$A$34:$D$38,(MATCH($D29,Lists!$A$34:$A$38,0)),(MATCH($B29,Lists!$A$34:$D$34,0))),INDEX(Lists!$F$34:$I$38,(MATCH($D29,Lists!$F$34:$F$38,0)),(MATCH($B29,Lists!$F$34:$I$34,0))))))</f>
        <v/>
      </c>
      <c r="F29" s="109"/>
      <c r="G29" s="112"/>
      <c r="H29" s="246"/>
      <c r="I29" s="112"/>
      <c r="J29" s="112"/>
    </row>
    <row r="30" ht="15.0" customHeight="1">
      <c r="A30" s="280"/>
      <c r="B30" s="232"/>
      <c r="C30" s="99">
        <v>18.0</v>
      </c>
      <c r="D30" s="237"/>
      <c r="E30" s="152" t="str">
        <f t="array" ref="E30">IF(B30="","",IF(D30="","",IF('4. Compliance'!$B$4="Section 11 ECB",INDEX(Lists!$A$34:$D$38,(MATCH($D30,Lists!$A$34:$A$38,0)),(MATCH($B30,Lists!$A$34:$D$34,0))),INDEX(Lists!$F$34:$I$38,(MATCH($D30,Lists!$F$34:$F$38,0)),(MATCH($B30,Lists!$F$34:$I$34,0))))))</f>
        <v/>
      </c>
      <c r="F30" s="109"/>
      <c r="G30" s="112"/>
      <c r="H30" s="246"/>
      <c r="I30" s="112"/>
      <c r="J30" s="112"/>
    </row>
    <row r="31" ht="15.75" customHeight="1">
      <c r="A31" s="280"/>
      <c r="B31" s="232"/>
      <c r="C31" s="99">
        <v>19.0</v>
      </c>
      <c r="D31" s="237"/>
      <c r="E31" s="152" t="str">
        <f t="array" ref="E31">IF(B31="","",IF(D31="","",IF('4. Compliance'!$B$4="Section 11 ECB",INDEX(Lists!$A$34:$D$38,(MATCH($D31,Lists!$A$34:$A$38,0)),(MATCH($B31,Lists!$A$34:$D$34,0))),INDEX(Lists!$F$34:$I$38,(MATCH($D31,Lists!$F$34:$F$38,0)),(MATCH($B31,Lists!$F$34:$I$34,0))))))</f>
        <v/>
      </c>
      <c r="F31" s="109"/>
      <c r="G31" s="112"/>
      <c r="H31" s="246"/>
      <c r="I31" s="112"/>
      <c r="J31" s="112"/>
    </row>
    <row r="32" ht="15.75" customHeight="1">
      <c r="A32" s="280"/>
      <c r="B32" s="232"/>
      <c r="C32" s="99">
        <v>20.0</v>
      </c>
      <c r="D32" s="237"/>
      <c r="E32" s="152" t="str">
        <f t="array" ref="E32">IF(B32="","",IF(D32="","",IF('4. Compliance'!$B$4="Section 11 ECB",INDEX(Lists!$A$34:$D$38,(MATCH($D32,Lists!$A$34:$A$38,0)),(MATCH($B32,Lists!$A$34:$D$34,0))),INDEX(Lists!$F$34:$I$38,(MATCH($D32,Lists!$F$34:$F$38,0)),(MATCH($B32,Lists!$F$34:$I$34,0))))))</f>
        <v/>
      </c>
      <c r="F32" s="109"/>
      <c r="G32" s="112"/>
      <c r="H32" s="246"/>
      <c r="I32" s="112"/>
      <c r="J32" s="112"/>
    </row>
    <row r="33" ht="15.75" customHeight="1">
      <c r="A33" s="280"/>
      <c r="B33" s="232"/>
      <c r="C33" s="99">
        <v>21.0</v>
      </c>
      <c r="D33" s="237"/>
      <c r="E33" s="152" t="str">
        <f t="array" ref="E33">IF(B33="","",IF(D33="","",IF('4. Compliance'!$B$4="Section 11 ECB",INDEX(Lists!$A$34:$D$38,(MATCH($D33,Lists!$A$34:$A$38,0)),(MATCH($B33,Lists!$A$34:$D$34,0))),INDEX(Lists!$F$34:$I$38,(MATCH($D33,Lists!$F$34:$F$38,0)),(MATCH($B33,Lists!$F$34:$I$34,0))))))</f>
        <v/>
      </c>
      <c r="F33" s="109"/>
      <c r="G33" s="112"/>
      <c r="H33" s="246"/>
      <c r="I33" s="112"/>
      <c r="J33" s="112"/>
    </row>
    <row r="34" ht="15.75" customHeight="1">
      <c r="A34" s="280"/>
      <c r="B34" s="232"/>
      <c r="C34" s="99">
        <v>22.0</v>
      </c>
      <c r="D34" s="237"/>
      <c r="E34" s="152" t="str">
        <f t="array" ref="E34">IF(B34="","",IF(D34="","",IF('4. Compliance'!$B$4="Section 11 ECB",INDEX(Lists!$A$34:$D$38,(MATCH($D34,Lists!$A$34:$A$38,0)),(MATCH($B34,Lists!$A$34:$D$34,0))),INDEX(Lists!$F$34:$I$38,(MATCH($D34,Lists!$F$34:$F$38,0)),(MATCH($B34,Lists!$F$34:$I$34,0))))))</f>
        <v/>
      </c>
      <c r="F34" s="109"/>
      <c r="G34" s="112"/>
      <c r="H34" s="246"/>
      <c r="I34" s="112"/>
      <c r="J34" s="112"/>
    </row>
    <row r="35" ht="15.75" customHeight="1">
      <c r="A35" s="280"/>
      <c r="B35" s="232"/>
      <c r="C35" s="99">
        <v>23.0</v>
      </c>
      <c r="D35" s="237"/>
      <c r="E35" s="152" t="str">
        <f t="array" ref="E35">IF(B35="","",IF(D35="","",IF('4. Compliance'!$B$4="Section 11 ECB",INDEX(Lists!$A$34:$D$38,(MATCH($D35,Lists!$A$34:$A$38,0)),(MATCH($B35,Lists!$A$34:$D$34,0))),INDEX(Lists!$F$34:$I$38,(MATCH($D35,Lists!$F$34:$F$38,0)),(MATCH($B35,Lists!$F$34:$I$34,0))))))</f>
        <v/>
      </c>
      <c r="F35" s="109"/>
      <c r="G35" s="112"/>
      <c r="H35" s="246"/>
      <c r="I35" s="112"/>
      <c r="J35" s="112"/>
    </row>
    <row r="36" ht="15.75" customHeight="1">
      <c r="A36" s="280"/>
      <c r="B36" s="232"/>
      <c r="C36" s="99">
        <v>24.0</v>
      </c>
      <c r="D36" s="237"/>
      <c r="E36" s="152" t="str">
        <f t="array" ref="E36">IF(B36="","",IF(D36="","",IF('4. Compliance'!$B$4="Section 11 ECB",INDEX(Lists!$A$34:$D$38,(MATCH($D36,Lists!$A$34:$A$38,0)),(MATCH($B36,Lists!$A$34:$D$34,0))),INDEX(Lists!$F$34:$I$38,(MATCH($D36,Lists!$F$34:$F$38,0)),(MATCH($B36,Lists!$F$34:$I$34,0))))))</f>
        <v/>
      </c>
      <c r="F36" s="109"/>
      <c r="G36" s="112"/>
      <c r="H36" s="246"/>
      <c r="I36" s="112"/>
      <c r="J36" s="112"/>
    </row>
    <row r="37" ht="15.75" customHeight="1">
      <c r="A37" s="280"/>
      <c r="B37" s="232"/>
      <c r="C37" s="99">
        <v>25.0</v>
      </c>
      <c r="D37" s="237"/>
      <c r="E37" s="152" t="str">
        <f t="array" ref="E37">IF(B37="","",IF(D37="","",IF('4. Compliance'!$B$4="Section 11 ECB",INDEX(Lists!$A$34:$D$38,(MATCH($D37,Lists!$A$34:$A$38,0)),(MATCH($B37,Lists!$A$34:$D$34,0))),INDEX(Lists!$F$34:$I$38,(MATCH($D37,Lists!$F$34:$F$38,0)),(MATCH($B37,Lists!$F$34:$I$34,0))))))</f>
        <v/>
      </c>
      <c r="F37" s="109"/>
      <c r="G37" s="112"/>
      <c r="H37" s="246"/>
      <c r="I37" s="112"/>
      <c r="J37" s="112"/>
    </row>
    <row r="38" ht="15.75" customHeight="1">
      <c r="A38" s="280"/>
      <c r="B38" s="232"/>
      <c r="C38" s="99">
        <v>26.0</v>
      </c>
      <c r="D38" s="237"/>
      <c r="E38" s="152" t="str">
        <f t="array" ref="E38">IF(B38="","",IF(D38="","",IF('4. Compliance'!$B$4="Section 11 ECB",INDEX(Lists!$A$34:$D$38,(MATCH($D38,Lists!$A$34:$A$38,0)),(MATCH($B38,Lists!$A$34:$D$34,0))),INDEX(Lists!$F$34:$I$38,(MATCH($D38,Lists!$F$34:$F$38,0)),(MATCH($B38,Lists!$F$34:$I$34,0))))))</f>
        <v/>
      </c>
      <c r="F38" s="109"/>
      <c r="G38" s="112"/>
      <c r="H38" s="246"/>
      <c r="I38" s="112"/>
      <c r="J38" s="112"/>
    </row>
    <row r="39" ht="15.75" customHeight="1">
      <c r="A39" s="280"/>
      <c r="B39" s="232"/>
      <c r="C39" s="99">
        <v>27.0</v>
      </c>
      <c r="D39" s="237"/>
      <c r="E39" s="152" t="str">
        <f t="array" ref="E39">IF(B39="","",IF(D39="","",IF('4. Compliance'!$B$4="Section 11 ECB",INDEX(Lists!$A$34:$D$38,(MATCH($D39,Lists!$A$34:$A$38,0)),(MATCH($B39,Lists!$A$34:$D$34,0))),INDEX(Lists!$F$34:$I$38,(MATCH($D39,Lists!$F$34:$F$38,0)),(MATCH($B39,Lists!$F$34:$I$34,0))))))</f>
        <v/>
      </c>
      <c r="F39" s="109"/>
      <c r="G39" s="112"/>
      <c r="H39" s="246"/>
      <c r="I39" s="112"/>
      <c r="J39" s="112"/>
    </row>
    <row r="40" ht="15.75" customHeight="1">
      <c r="A40" s="280"/>
      <c r="B40" s="232"/>
      <c r="C40" s="99">
        <v>28.0</v>
      </c>
      <c r="D40" s="237"/>
      <c r="E40" s="152" t="str">
        <f t="array" ref="E40">IF(B40="","",IF(D40="","",IF('4. Compliance'!$B$4="Section 11 ECB",INDEX(Lists!$A$34:$D$38,(MATCH($D40,Lists!$A$34:$A$38,0)),(MATCH($B40,Lists!$A$34:$D$34,0))),INDEX(Lists!$F$34:$I$38,(MATCH($D40,Lists!$F$34:$F$38,0)),(MATCH($B40,Lists!$F$34:$I$34,0))))))</f>
        <v/>
      </c>
      <c r="F40" s="109"/>
      <c r="G40" s="112"/>
      <c r="H40" s="246"/>
      <c r="I40" s="112"/>
      <c r="J40" s="112"/>
    </row>
    <row r="41" ht="15.75" customHeight="1">
      <c r="A41" s="280"/>
      <c r="B41" s="232"/>
      <c r="C41" s="99">
        <v>29.0</v>
      </c>
      <c r="D41" s="237"/>
      <c r="E41" s="152" t="str">
        <f t="array" ref="E41">IF(B41="","",IF(D41="","",IF('4. Compliance'!$B$4="Section 11 ECB",INDEX(Lists!$A$34:$D$38,(MATCH($D41,Lists!$A$34:$A$38,0)),(MATCH($B41,Lists!$A$34:$D$34,0))),INDEX(Lists!$F$34:$I$38,(MATCH($D41,Lists!$F$34:$F$38,0)),(MATCH($B41,Lists!$F$34:$I$34,0))))))</f>
        <v/>
      </c>
      <c r="F41" s="109"/>
      <c r="G41" s="112"/>
      <c r="H41" s="246"/>
      <c r="I41" s="112"/>
      <c r="J41" s="112"/>
    </row>
    <row r="42" ht="15.75" customHeight="1">
      <c r="A42" s="280"/>
      <c r="B42" s="232"/>
      <c r="C42" s="99">
        <v>30.0</v>
      </c>
      <c r="D42" s="237"/>
      <c r="E42" s="152" t="str">
        <f t="array" ref="E42">IF(B42="","",IF(D42="","",IF('4. Compliance'!$B$4="Section 11 ECB",INDEX(Lists!$A$34:$D$38,(MATCH($D42,Lists!$A$34:$A$38,0)),(MATCH($B42,Lists!$A$34:$D$34,0))),INDEX(Lists!$F$34:$I$38,(MATCH($D42,Lists!$F$34:$F$38,0)),(MATCH($B42,Lists!$F$34:$I$34,0))))))</f>
        <v/>
      </c>
      <c r="F42" s="109"/>
      <c r="G42" s="112"/>
      <c r="H42" s="246"/>
      <c r="I42" s="112"/>
      <c r="J42" s="112"/>
    </row>
    <row r="43" ht="15.75" customHeight="1">
      <c r="A43" s="280"/>
      <c r="B43" s="232"/>
      <c r="C43" s="99">
        <v>31.0</v>
      </c>
      <c r="D43" s="237"/>
      <c r="E43" s="152" t="str">
        <f t="array" ref="E43">IF(B43="","",IF(D43="","",IF('4. Compliance'!$B$4="Section 11 ECB",INDEX(Lists!$A$34:$D$38,(MATCH($D43,Lists!$A$34:$A$38,0)),(MATCH($B43,Lists!$A$34:$D$34,0))),INDEX(Lists!$F$34:$I$38,(MATCH($D43,Lists!$F$34:$F$38,0)),(MATCH($B43,Lists!$F$34:$I$34,0))))))</f>
        <v/>
      </c>
      <c r="F43" s="109"/>
      <c r="G43" s="112"/>
      <c r="H43" s="246"/>
      <c r="I43" s="112"/>
      <c r="J43" s="112"/>
    </row>
    <row r="44" ht="15.75" customHeight="1">
      <c r="A44" s="280"/>
      <c r="B44" s="232"/>
      <c r="C44" s="99">
        <v>32.0</v>
      </c>
      <c r="D44" s="237"/>
      <c r="E44" s="152" t="str">
        <f t="array" ref="E44">IF(B44="","",IF(D44="","",IF('4. Compliance'!$B$4="Section 11 ECB",INDEX(Lists!$A$34:$D$38,(MATCH($D44,Lists!$A$34:$A$38,0)),(MATCH($B44,Lists!$A$34:$D$34,0))),INDEX(Lists!$F$34:$I$38,(MATCH($D44,Lists!$F$34:$F$38,0)),(MATCH($B44,Lists!$F$34:$I$34,0))))))</f>
        <v/>
      </c>
      <c r="F44" s="109"/>
      <c r="G44" s="112"/>
      <c r="H44" s="246"/>
      <c r="I44" s="112"/>
      <c r="J44" s="112"/>
    </row>
    <row r="45" ht="15.75" customHeight="1">
      <c r="A45" s="280"/>
      <c r="B45" s="232"/>
      <c r="C45" s="99">
        <v>33.0</v>
      </c>
      <c r="D45" s="237"/>
      <c r="E45" s="152" t="str">
        <f t="array" ref="E45">IF(B45="","",IF(D45="","",IF('4. Compliance'!$B$4="Section 11 ECB",INDEX(Lists!$A$34:$D$38,(MATCH($D45,Lists!$A$34:$A$38,0)),(MATCH($B45,Lists!$A$34:$D$34,0))),INDEX(Lists!$F$34:$I$38,(MATCH($D45,Lists!$F$34:$F$38,0)),(MATCH($B45,Lists!$F$34:$I$34,0))))))</f>
        <v/>
      </c>
      <c r="F45" s="109"/>
      <c r="G45" s="112"/>
      <c r="H45" s="246"/>
      <c r="I45" s="112"/>
      <c r="J45" s="112"/>
    </row>
    <row r="46" ht="15.75" customHeight="1">
      <c r="A46" s="280"/>
      <c r="B46" s="232"/>
      <c r="C46" s="99">
        <v>34.0</v>
      </c>
      <c r="D46" s="237"/>
      <c r="E46" s="152" t="str">
        <f t="array" ref="E46">IF(B46="","",IF(D46="","",IF('4. Compliance'!$B$4="Section 11 ECB",INDEX(Lists!$A$34:$D$38,(MATCH($D46,Lists!$A$34:$A$38,0)),(MATCH($B46,Lists!$A$34:$D$34,0))),INDEX(Lists!$F$34:$I$38,(MATCH($D46,Lists!$F$34:$F$38,0)),(MATCH($B46,Lists!$F$34:$I$34,0))))))</f>
        <v/>
      </c>
      <c r="F46" s="109"/>
      <c r="G46" s="112"/>
      <c r="H46" s="246"/>
      <c r="I46" s="112"/>
      <c r="J46" s="112"/>
    </row>
    <row r="47" ht="15.75" customHeight="1">
      <c r="A47" s="280"/>
      <c r="B47" s="232"/>
      <c r="C47" s="99">
        <v>35.0</v>
      </c>
      <c r="D47" s="237"/>
      <c r="E47" s="152" t="str">
        <f t="array" ref="E47">IF(B47="","",IF(D47="","",IF('4. Compliance'!$B$4="Section 11 ECB",INDEX(Lists!$A$34:$D$38,(MATCH($D47,Lists!$A$34:$A$38,0)),(MATCH($B47,Lists!$A$34:$D$34,0))),INDEX(Lists!$F$34:$I$38,(MATCH($D47,Lists!$F$34:$F$38,0)),(MATCH($B47,Lists!$F$34:$I$34,0))))))</f>
        <v/>
      </c>
      <c r="F47" s="109"/>
      <c r="G47" s="112"/>
      <c r="H47" s="112"/>
      <c r="I47" s="112"/>
      <c r="J47" s="112"/>
    </row>
    <row r="48" ht="33.0" customHeight="1">
      <c r="G48" s="251" t="s">
        <v>511</v>
      </c>
      <c r="H48" s="252" t="str">
        <f>IF(H6="","",IF(AND(((100-'6a. Ext. Wall Areas'!J16)/100)&lt;(SUM(H6:H12)+SUM(H6:H12)*0.01),((100-'6a. Ext. Wall Areas'!J16)/100)&gt;(SUM(H6:H12)-SUM(H6:H12)*0.01)),SUM(H6:H12),"Opaque roof % does not equal tab 6a."))</f>
        <v/>
      </c>
    </row>
    <row r="49" ht="35.25" customHeight="1">
      <c r="G49" s="251" t="s">
        <v>391</v>
      </c>
      <c r="H49" s="252" t="str">
        <f>IF(H14="","",IF(AND(((100-'6a. Ext. Wall Areas'!J14)/100)&lt;(SUM(H14:H48)+SUM(H14:H48)*0.01),((100-'6a. Ext. Wall Areas'!J14)/100)&gt;(SUM(H14:H48)-SUM(H14:H48)*0.01)),SUM(H14:H48),"Above grade % does not equal tab 6a."))</f>
        <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4:I5"/>
    <mergeCell ref="J4:J5"/>
    <mergeCell ref="A6:A12"/>
    <mergeCell ref="A13:A47"/>
    <mergeCell ref="B2:J2"/>
    <mergeCell ref="A3:J3"/>
    <mergeCell ref="A4:A5"/>
    <mergeCell ref="B4:B5"/>
    <mergeCell ref="C4:C5"/>
    <mergeCell ref="D4:E4"/>
    <mergeCell ref="F4:G4"/>
  </mergeCells>
  <conditionalFormatting sqref="M14:Z14">
    <cfRule type="expression" dxfId="1" priority="1">
      <formula>"""ERROR"""</formula>
    </cfRule>
  </conditionalFormatting>
  <conditionalFormatting sqref="E13:E47">
    <cfRule type="expression" dxfId="1" priority="2">
      <formula>"ERROR"</formula>
    </cfRule>
  </conditionalFormatting>
  <conditionalFormatting sqref="I6:J7 J13:J15">
    <cfRule type="containsBlanks" dxfId="0" priority="3">
      <formula>LEN(TRIM(I6))=0</formula>
    </cfRule>
  </conditionalFormatting>
  <conditionalFormatting sqref="F6:H7">
    <cfRule type="containsBlanks" dxfId="0" priority="4">
      <formula>LEN(TRIM(F6))=0</formula>
    </cfRule>
  </conditionalFormatting>
  <conditionalFormatting sqref="H48">
    <cfRule type="beginsWith" dxfId="1" priority="5" operator="beginsWith" text="Above">
      <formula>LEFT((H48),LEN("Above"))=("Above")</formula>
    </cfRule>
  </conditionalFormatting>
  <conditionalFormatting sqref="H48">
    <cfRule type="containsText" dxfId="1" priority="6" operator="containsText" text="&quot;WWR does not equal tab 6a.&quot;">
      <formula>NOT(ISERROR(SEARCH(("""WWR does not equal tab 6a."""),(H48))))</formula>
    </cfRule>
  </conditionalFormatting>
  <conditionalFormatting sqref="H49">
    <cfRule type="beginsWith" dxfId="1" priority="7" operator="beginsWith" text="Above">
      <formula>LEFT((H49),LEN("Above"))=("Above")</formula>
    </cfRule>
  </conditionalFormatting>
  <conditionalFormatting sqref="H49">
    <cfRule type="containsText" dxfId="1" priority="8" operator="containsText" text="&quot;WWR does not equal tab 6a.&quot;">
      <formula>NOT(ISERROR(SEARCH(("""WWR does not equal tab 6a."""),(H49))))</formula>
    </cfRule>
  </conditionalFormatting>
  <conditionalFormatting sqref="I13:I15">
    <cfRule type="containsBlanks" dxfId="0" priority="9">
      <formula>LEN(TRIM(I13))=0</formula>
    </cfRule>
  </conditionalFormatting>
  <conditionalFormatting sqref="F13:H15">
    <cfRule type="containsBlanks" dxfId="0" priority="10">
      <formula>LEN(TRIM(F13))=0</formula>
    </cfRule>
  </conditionalFormatting>
  <dataValidations>
    <dataValidation type="list" allowBlank="1" showErrorMessage="1" sqref="D7:D47">
      <formula1>Wall_Type</formula1>
    </dataValidation>
    <dataValidation type="list" allowBlank="1" showErrorMessage="1" sqref="B6:B47">
      <formula1>Env_Type</formula1>
    </dataValidation>
    <dataValidation type="list" allowBlank="1" showErrorMessage="1" sqref="D6">
      <formula1>Roof_Type</formula1>
    </dataValidation>
  </dataValidations>
  <printOptions/>
  <pageMargins bottom="0.75" footer="0.0" header="0.0" left="0.3929166666666667" right="0.7" top="0.75"/>
  <pageSetup scale="82" orientation="portrait"/>
  <headerFooter>
    <oddFooter>&amp;LVersion 7&amp;RAugust 2023</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10.43"/>
    <col customWidth="1" min="3" max="4" width="6.43"/>
    <col customWidth="1" min="5" max="5" width="7.0"/>
    <col customWidth="1" min="6" max="6" width="9.43"/>
    <col customWidth="1" min="7" max="9" width="6.43"/>
    <col customWidth="1" min="10" max="11" width="7.0"/>
    <col customWidth="1" min="12" max="13" width="11.57"/>
  </cols>
  <sheetData>
    <row r="1">
      <c r="A1" s="135"/>
      <c r="B1" s="4"/>
      <c r="C1" s="4"/>
      <c r="D1" s="4"/>
      <c r="E1" s="260"/>
      <c r="F1" s="4"/>
      <c r="G1" s="4"/>
      <c r="H1" s="4"/>
      <c r="I1" s="4"/>
      <c r="J1" s="4"/>
      <c r="K1" s="4"/>
      <c r="L1" s="4"/>
      <c r="M1" s="4"/>
    </row>
    <row r="2" ht="15.0" customHeight="1">
      <c r="A2" s="261" t="s">
        <v>400</v>
      </c>
      <c r="B2" s="88" t="s">
        <v>401</v>
      </c>
      <c r="C2" s="67"/>
      <c r="D2" s="67"/>
      <c r="E2" s="67"/>
      <c r="F2" s="67"/>
      <c r="G2" s="67"/>
      <c r="H2" s="67"/>
      <c r="I2" s="67"/>
      <c r="J2" s="67"/>
      <c r="K2" s="67"/>
      <c r="L2" s="67"/>
      <c r="M2" s="68"/>
    </row>
    <row r="3" ht="15.0" customHeight="1">
      <c r="A3" s="262" t="str">
        <f>CONCATENATE("Compliance based on ",IF(Path="","",Path))</f>
        <v>Compliance based on Appendix G PRM</v>
      </c>
      <c r="B3" s="67"/>
      <c r="C3" s="67"/>
      <c r="D3" s="67"/>
      <c r="E3" s="67"/>
      <c r="F3" s="67"/>
      <c r="G3" s="67"/>
      <c r="H3" s="67"/>
      <c r="I3" s="67"/>
      <c r="J3" s="67"/>
      <c r="K3" s="67"/>
      <c r="L3" s="67"/>
      <c r="M3" s="68"/>
    </row>
    <row r="4" ht="56.25" customHeight="1">
      <c r="A4" s="227" t="s">
        <v>402</v>
      </c>
      <c r="B4" s="227" t="s">
        <v>403</v>
      </c>
      <c r="C4" s="124" t="s">
        <v>299</v>
      </c>
      <c r="D4" s="67"/>
      <c r="E4" s="68"/>
      <c r="F4" s="124" t="s">
        <v>404</v>
      </c>
      <c r="G4" s="68"/>
      <c r="H4" s="124" t="s">
        <v>301</v>
      </c>
      <c r="I4" s="67"/>
      <c r="J4" s="67"/>
      <c r="K4" s="67"/>
      <c r="L4" s="67"/>
      <c r="M4" s="68"/>
    </row>
    <row r="5" ht="22.5" customHeight="1">
      <c r="A5" s="194"/>
      <c r="B5" s="194"/>
      <c r="C5" s="227" t="s">
        <v>405</v>
      </c>
      <c r="D5" s="263" t="s">
        <v>406</v>
      </c>
      <c r="E5" s="264" t="s">
        <v>407</v>
      </c>
      <c r="F5" s="265" t="s">
        <v>408</v>
      </c>
      <c r="G5" s="97" t="s">
        <v>409</v>
      </c>
      <c r="H5" s="266" t="s">
        <v>405</v>
      </c>
      <c r="I5" s="227" t="s">
        <v>406</v>
      </c>
      <c r="J5" s="97" t="s">
        <v>410</v>
      </c>
      <c r="K5" s="97" t="s">
        <v>409</v>
      </c>
      <c r="L5" s="227" t="s">
        <v>183</v>
      </c>
      <c r="M5" s="227" t="s">
        <v>184</v>
      </c>
    </row>
    <row r="6">
      <c r="A6" s="198"/>
      <c r="B6" s="198"/>
      <c r="C6" s="198"/>
      <c r="D6" s="198"/>
      <c r="E6" s="267" t="s">
        <v>411</v>
      </c>
      <c r="F6" s="224"/>
      <c r="G6" s="230" t="s">
        <v>411</v>
      </c>
      <c r="H6" s="268"/>
      <c r="I6" s="198"/>
      <c r="J6" s="230" t="s">
        <v>411</v>
      </c>
      <c r="K6" s="230" t="s">
        <v>411</v>
      </c>
      <c r="L6" s="198"/>
      <c r="M6" s="198"/>
    </row>
    <row r="7" ht="21.0" customHeight="1">
      <c r="A7" s="237"/>
      <c r="B7" s="269"/>
      <c r="C7" s="237"/>
      <c r="D7" s="237"/>
      <c r="E7" s="270" t="str">
        <f>IF($A7="","",IF($B7="","",IF('4. Compliance'!$B$4="Section 11 ECB",VLOOKUP($A7,'Lighting Lookup'!$E$2:$G$108,2),VLOOKUP($A7,'Lighting Lookup'!$E$2:$G$108,3))))</f>
        <v/>
      </c>
      <c r="F7" s="269"/>
      <c r="G7" s="271"/>
      <c r="H7" s="237"/>
      <c r="I7" s="232"/>
      <c r="J7" s="272"/>
      <c r="K7" s="272"/>
      <c r="L7" s="109"/>
      <c r="M7" s="109"/>
    </row>
    <row r="8" ht="21.0" customHeight="1">
      <c r="A8" s="237"/>
      <c r="B8" s="269"/>
      <c r="C8" s="237"/>
      <c r="D8" s="237"/>
      <c r="E8" s="270" t="str">
        <f>IF($A8="","",IF($B8="","",IF('4. Compliance'!$B$4="Section 11 ECB",VLOOKUP($A8,'Lighting Lookup'!$E$2:$G$108,2),VLOOKUP($A8,'Lighting Lookup'!$E$2:$G$108,3))))</f>
        <v/>
      </c>
      <c r="F8" s="269"/>
      <c r="G8" s="273"/>
      <c r="H8" s="237"/>
      <c r="I8" s="232"/>
      <c r="J8" s="272"/>
      <c r="K8" s="272"/>
      <c r="L8" s="109"/>
      <c r="M8" s="109"/>
    </row>
    <row r="9" ht="21.0" customHeight="1">
      <c r="A9" s="237"/>
      <c r="B9" s="269"/>
      <c r="C9" s="237"/>
      <c r="D9" s="237"/>
      <c r="E9" s="270" t="str">
        <f>IF($A9="","",IF($B9="","",IF('4. Compliance'!$B$4="Section 11 ECB",VLOOKUP($A9,'Lighting Lookup'!$E$2:$G$108,2),VLOOKUP($A9,'Lighting Lookup'!$E$2:$G$108,3))))</f>
        <v/>
      </c>
      <c r="F9" s="269"/>
      <c r="G9" s="273"/>
      <c r="H9" s="237"/>
      <c r="I9" s="232"/>
      <c r="J9" s="272"/>
      <c r="K9" s="272"/>
      <c r="L9" s="109"/>
      <c r="M9" s="109"/>
    </row>
    <row r="10" ht="21.0" customHeight="1">
      <c r="A10" s="237"/>
      <c r="B10" s="269"/>
      <c r="C10" s="237"/>
      <c r="D10" s="237"/>
      <c r="E10" s="270" t="str">
        <f>IF($A10="","",IF($B10="","",IF('4. Compliance'!$B$4="Section 11 ECB",VLOOKUP($A10,'Lighting Lookup'!$E$2:$G$108,2),VLOOKUP($A10,'Lighting Lookup'!$E$2:$G$108,3))))</f>
        <v/>
      </c>
      <c r="F10" s="269"/>
      <c r="G10" s="273"/>
      <c r="H10" s="237"/>
      <c r="I10" s="232"/>
      <c r="J10" s="272"/>
      <c r="K10" s="272"/>
      <c r="L10" s="109"/>
      <c r="M10" s="109"/>
    </row>
    <row r="11" ht="21.0" customHeight="1">
      <c r="A11" s="237"/>
      <c r="B11" s="269"/>
      <c r="C11" s="237"/>
      <c r="D11" s="237"/>
      <c r="E11" s="270" t="str">
        <f>IF($A11="","",IF($B11="","",IF('4. Compliance'!$B$4="Section 11 ECB",VLOOKUP($A11,'Lighting Lookup'!$E$2:$G$108,2),VLOOKUP($A11,'Lighting Lookup'!$E$2:$G$108,3))))</f>
        <v/>
      </c>
      <c r="F11" s="269"/>
      <c r="G11" s="273"/>
      <c r="H11" s="237"/>
      <c r="I11" s="232"/>
      <c r="J11" s="272"/>
      <c r="K11" s="272"/>
      <c r="L11" s="109"/>
      <c r="M11" s="109"/>
    </row>
    <row r="12" ht="21.0" customHeight="1">
      <c r="A12" s="237"/>
      <c r="B12" s="269"/>
      <c r="C12" s="237"/>
      <c r="D12" s="237"/>
      <c r="E12" s="270" t="str">
        <f>IF($A12="","",IF($B12="","",IF('4. Compliance'!$B$4="Section 11 ECB",VLOOKUP($A12,'Lighting Lookup'!$E$2:$G$108,2),VLOOKUP($A12,'Lighting Lookup'!$E$2:$G$108,3))))</f>
        <v/>
      </c>
      <c r="F12" s="269"/>
      <c r="G12" s="273"/>
      <c r="H12" s="237"/>
      <c r="I12" s="232"/>
      <c r="J12" s="272"/>
      <c r="K12" s="272"/>
      <c r="L12" s="109"/>
      <c r="M12" s="109"/>
    </row>
    <row r="13" ht="21.0" customHeight="1">
      <c r="A13" s="237"/>
      <c r="B13" s="269"/>
      <c r="C13" s="237"/>
      <c r="D13" s="237"/>
      <c r="E13" s="270" t="str">
        <f>IF($A13="","",IF($B13="","",IF('4. Compliance'!$B$4="Section 11 ECB",VLOOKUP($A13,'Lighting Lookup'!$E$2:$G$108,2),VLOOKUP($A13,'Lighting Lookup'!$E$2:$G$108,3))))</f>
        <v/>
      </c>
      <c r="F13" s="269"/>
      <c r="G13" s="273"/>
      <c r="H13" s="237"/>
      <c r="I13" s="232"/>
      <c r="J13" s="272"/>
      <c r="K13" s="272"/>
      <c r="L13" s="109"/>
      <c r="M13" s="109"/>
    </row>
    <row r="14" ht="21.0" customHeight="1">
      <c r="A14" s="237"/>
      <c r="B14" s="269"/>
      <c r="C14" s="237"/>
      <c r="D14" s="237"/>
      <c r="E14" s="270" t="str">
        <f>IF($A14="","",IF($B14="","",IF('4. Compliance'!$B$4="Section 11 ECB",VLOOKUP($A14,'Lighting Lookup'!$E$2:$G$108,2),VLOOKUP($A14,'Lighting Lookup'!$E$2:$G$108,3))))</f>
        <v/>
      </c>
      <c r="F14" s="269"/>
      <c r="G14" s="273"/>
      <c r="H14" s="237"/>
      <c r="I14" s="232"/>
      <c r="J14" s="272"/>
      <c r="K14" s="272"/>
      <c r="L14" s="109"/>
      <c r="M14" s="109"/>
    </row>
    <row r="15" ht="21.0" customHeight="1">
      <c r="A15" s="237"/>
      <c r="B15" s="269"/>
      <c r="C15" s="237"/>
      <c r="D15" s="237"/>
      <c r="E15" s="270" t="str">
        <f>IF($A15="","",IF($B15="","",IF('4. Compliance'!$B$4="Section 11 ECB",VLOOKUP($A15,'Lighting Lookup'!$E$2:$G$108,2),VLOOKUP($A15,'Lighting Lookup'!$E$2:$G$108,3))))</f>
        <v/>
      </c>
      <c r="F15" s="269"/>
      <c r="G15" s="273"/>
      <c r="H15" s="237"/>
      <c r="I15" s="232"/>
      <c r="J15" s="272"/>
      <c r="K15" s="272"/>
      <c r="L15" s="109"/>
      <c r="M15" s="109"/>
    </row>
    <row r="16" ht="21.0" customHeight="1">
      <c r="A16" s="237"/>
      <c r="B16" s="269"/>
      <c r="C16" s="237"/>
      <c r="D16" s="237"/>
      <c r="E16" s="270" t="str">
        <f>IF($A16="","",IF($B16="","",IF('4. Compliance'!$B$4="Section 11 ECB",VLOOKUP($A16,'Lighting Lookup'!$E$2:$G$108,2),VLOOKUP($A16,'Lighting Lookup'!$E$2:$G$108,3))))</f>
        <v/>
      </c>
      <c r="F16" s="269"/>
      <c r="G16" s="273"/>
      <c r="H16" s="237"/>
      <c r="I16" s="232"/>
      <c r="J16" s="272"/>
      <c r="K16" s="272"/>
      <c r="L16" s="109"/>
      <c r="M16" s="109"/>
    </row>
    <row r="17" ht="21.0" customHeight="1">
      <c r="A17" s="237"/>
      <c r="B17" s="269"/>
      <c r="C17" s="237"/>
      <c r="D17" s="237"/>
      <c r="E17" s="270" t="str">
        <f>IF($A17="","",IF($B17="","",IF('4. Compliance'!$B$4="Section 11 ECB",VLOOKUP($A17,'Lighting Lookup'!$E$2:$G$108,2),VLOOKUP($A17,'Lighting Lookup'!$E$2:$G$108,3))))</f>
        <v/>
      </c>
      <c r="F17" s="269"/>
      <c r="G17" s="273"/>
      <c r="H17" s="237"/>
      <c r="I17" s="232"/>
      <c r="J17" s="272"/>
      <c r="K17" s="272"/>
      <c r="L17" s="109"/>
      <c r="M17" s="109"/>
    </row>
    <row r="18" ht="21.0" customHeight="1">
      <c r="A18" s="237"/>
      <c r="B18" s="269"/>
      <c r="C18" s="237"/>
      <c r="D18" s="237"/>
      <c r="E18" s="270" t="str">
        <f>IF($A18="","",IF($B18="","",IF('4. Compliance'!$B$4="Section 11 ECB",VLOOKUP($A18,'Lighting Lookup'!$E$2:$G$108,2),VLOOKUP($A18,'Lighting Lookup'!$E$2:$G$108,3))))</f>
        <v/>
      </c>
      <c r="F18" s="269"/>
      <c r="G18" s="273"/>
      <c r="H18" s="237"/>
      <c r="I18" s="232"/>
      <c r="J18" s="272"/>
      <c r="K18" s="272"/>
      <c r="L18" s="109"/>
      <c r="M18" s="109"/>
    </row>
    <row r="19" ht="21.0" customHeight="1">
      <c r="A19" s="237"/>
      <c r="B19" s="269"/>
      <c r="C19" s="237"/>
      <c r="D19" s="237"/>
      <c r="E19" s="270" t="str">
        <f>IF($A19="","",IF($B19="","",IF('4. Compliance'!$B$4="Section 11 ECB",VLOOKUP($A19,'Lighting Lookup'!$E$2:$G$108,2),VLOOKUP($A19,'Lighting Lookup'!$E$2:$G$108,3))))</f>
        <v/>
      </c>
      <c r="F19" s="269"/>
      <c r="G19" s="273"/>
      <c r="H19" s="237"/>
      <c r="I19" s="232"/>
      <c r="J19" s="272"/>
      <c r="K19" s="272"/>
      <c r="L19" s="109"/>
      <c r="M19" s="109"/>
    </row>
    <row r="20" ht="21.0" customHeight="1">
      <c r="A20" s="237"/>
      <c r="B20" s="269"/>
      <c r="C20" s="237"/>
      <c r="D20" s="237"/>
      <c r="E20" s="270" t="str">
        <f>IF($A20="","",IF($B20="","",IF('4. Compliance'!$B$4="Section 11 ECB",VLOOKUP($A20,'Lighting Lookup'!$E$2:$G$108,2),VLOOKUP($A20,'Lighting Lookup'!$E$2:$G$108,3))))</f>
        <v/>
      </c>
      <c r="F20" s="269"/>
      <c r="G20" s="273"/>
      <c r="H20" s="237"/>
      <c r="I20" s="232"/>
      <c r="J20" s="272"/>
      <c r="K20" s="272"/>
      <c r="L20" s="109"/>
      <c r="M20" s="109"/>
    </row>
    <row r="21" ht="21.0" customHeight="1">
      <c r="A21" s="237"/>
      <c r="B21" s="269"/>
      <c r="C21" s="237"/>
      <c r="D21" s="237"/>
      <c r="E21" s="270" t="str">
        <f>IF($A21="","",IF($B21="","",IF('4. Compliance'!$B$4="Section 11 ECB",VLOOKUP($A21,'Lighting Lookup'!$E$2:$G$108,2),VLOOKUP($A21,'Lighting Lookup'!$E$2:$G$108,3))))</f>
        <v/>
      </c>
      <c r="F21" s="269"/>
      <c r="G21" s="273"/>
      <c r="H21" s="237"/>
      <c r="I21" s="232"/>
      <c r="J21" s="272"/>
      <c r="K21" s="272"/>
      <c r="L21" s="109"/>
      <c r="M21" s="109"/>
    </row>
    <row r="22" ht="21.0" customHeight="1">
      <c r="A22" s="237"/>
      <c r="B22" s="269"/>
      <c r="C22" s="237"/>
      <c r="D22" s="237"/>
      <c r="E22" s="270" t="str">
        <f>IF($A22="","",IF($B22="","",IF('4. Compliance'!$B$4="Section 11 ECB",VLOOKUP($A22,'Lighting Lookup'!$E$2:$G$108,2),VLOOKUP($A22,'Lighting Lookup'!$E$2:$G$108,3))))</f>
        <v/>
      </c>
      <c r="F22" s="269"/>
      <c r="G22" s="273"/>
      <c r="H22" s="237"/>
      <c r="I22" s="232"/>
      <c r="J22" s="272"/>
      <c r="K22" s="272"/>
      <c r="L22" s="109"/>
      <c r="M22" s="109"/>
    </row>
    <row r="23" ht="21.0" customHeight="1">
      <c r="A23" s="237"/>
      <c r="B23" s="269"/>
      <c r="C23" s="237"/>
      <c r="D23" s="237"/>
      <c r="E23" s="270" t="str">
        <f>IF($A23="","",IF($B23="","",IF('4. Compliance'!$B$4="Section 11 ECB",VLOOKUP($A23,'Lighting Lookup'!$E$2:$G$108,2),VLOOKUP($A23,'Lighting Lookup'!$E$2:$G$108,3))))</f>
        <v/>
      </c>
      <c r="F23" s="269"/>
      <c r="G23" s="273"/>
      <c r="H23" s="237"/>
      <c r="I23" s="232"/>
      <c r="J23" s="272"/>
      <c r="K23" s="272"/>
      <c r="L23" s="109"/>
      <c r="M23" s="109"/>
    </row>
    <row r="24" ht="21.0" customHeight="1">
      <c r="A24" s="237"/>
      <c r="B24" s="269"/>
      <c r="C24" s="237"/>
      <c r="D24" s="237"/>
      <c r="E24" s="270" t="str">
        <f>IF($A24="","",IF($B24="","",IF('4. Compliance'!$B$4="Section 11 ECB",VLOOKUP($A24,'Lighting Lookup'!$E$2:$G$108,2),VLOOKUP($A24,'Lighting Lookup'!$E$2:$G$108,3))))</f>
        <v/>
      </c>
      <c r="F24" s="269"/>
      <c r="G24" s="273"/>
      <c r="H24" s="237"/>
      <c r="I24" s="232"/>
      <c r="J24" s="272"/>
      <c r="K24" s="272"/>
      <c r="L24" s="109"/>
      <c r="M24" s="109"/>
    </row>
    <row r="25" ht="21.0" customHeight="1">
      <c r="A25" s="237"/>
      <c r="B25" s="269"/>
      <c r="C25" s="237"/>
      <c r="D25" s="237"/>
      <c r="E25" s="270" t="str">
        <f>IF($A25="","",IF($B25="","",IF('4. Compliance'!$B$4="Section 11 ECB",VLOOKUP($A25,'Lighting Lookup'!$E$2:$G$108,2),VLOOKUP($A25,'Lighting Lookup'!$E$2:$G$108,3))))</f>
        <v/>
      </c>
      <c r="F25" s="269"/>
      <c r="G25" s="273"/>
      <c r="H25" s="237"/>
      <c r="I25" s="232"/>
      <c r="J25" s="272"/>
      <c r="K25" s="272"/>
      <c r="L25" s="109"/>
      <c r="M25" s="109"/>
    </row>
    <row r="26" ht="21.0" customHeight="1">
      <c r="A26" s="237"/>
      <c r="B26" s="269"/>
      <c r="C26" s="237"/>
      <c r="D26" s="237"/>
      <c r="E26" s="270" t="str">
        <f>IF($A26="","",IF($B26="","",IF('4. Compliance'!$B$4="Section 11 ECB",VLOOKUP($A26,'Lighting Lookup'!$E$2:$G$108,2),VLOOKUP($A26,'Lighting Lookup'!$E$2:$G$108,3))))</f>
        <v/>
      </c>
      <c r="F26" s="269"/>
      <c r="G26" s="273"/>
      <c r="H26" s="237"/>
      <c r="I26" s="232"/>
      <c r="J26" s="272"/>
      <c r="K26" s="272"/>
      <c r="L26" s="109"/>
      <c r="M26" s="109"/>
    </row>
    <row r="27" ht="21.0" customHeight="1">
      <c r="A27" s="237"/>
      <c r="B27" s="269"/>
      <c r="C27" s="237"/>
      <c r="D27" s="237"/>
      <c r="E27" s="270" t="str">
        <f>IF($A27="","",IF($B27="","",IF('4. Compliance'!$B$4="Section 11 ECB",VLOOKUP($A27,'Lighting Lookup'!$E$2:$G$108,2),VLOOKUP($A27,'Lighting Lookup'!$E$2:$G$108,3))))</f>
        <v/>
      </c>
      <c r="F27" s="269"/>
      <c r="G27" s="273"/>
      <c r="H27" s="237"/>
      <c r="I27" s="232"/>
      <c r="J27" s="272"/>
      <c r="K27" s="272"/>
      <c r="L27" s="109"/>
      <c r="M27" s="109"/>
    </row>
    <row r="28" ht="21.0" customHeight="1">
      <c r="A28" s="237"/>
      <c r="B28" s="269"/>
      <c r="C28" s="237"/>
      <c r="D28" s="237"/>
      <c r="E28" s="270" t="str">
        <f>IF($A28="","",IF($B28="","",IF('4. Compliance'!$B$4="Section 11 ECB",VLOOKUP($A28,'Lighting Lookup'!$E$2:$G$108,2),VLOOKUP($A28,'Lighting Lookup'!$E$2:$G$108,3))))</f>
        <v/>
      </c>
      <c r="F28" s="269"/>
      <c r="G28" s="273"/>
      <c r="H28" s="237"/>
      <c r="I28" s="232"/>
      <c r="J28" s="272"/>
      <c r="K28" s="272"/>
      <c r="L28" s="109"/>
      <c r="M28" s="109"/>
    </row>
    <row r="29" ht="21.0" customHeight="1">
      <c r="A29" s="237"/>
      <c r="B29" s="269"/>
      <c r="C29" s="237"/>
      <c r="D29" s="237"/>
      <c r="E29" s="270" t="str">
        <f>IF($A29="","",IF($B29="","",IF('4. Compliance'!$B$4="Section 11 ECB",VLOOKUP($A29,'Lighting Lookup'!$E$2:$G$108,2),VLOOKUP($A29,'Lighting Lookup'!$E$2:$G$108,3))))</f>
        <v/>
      </c>
      <c r="F29" s="269"/>
      <c r="G29" s="273"/>
      <c r="H29" s="237"/>
      <c r="I29" s="232"/>
      <c r="J29" s="272"/>
      <c r="K29" s="272"/>
      <c r="L29" s="109"/>
      <c r="M29" s="109"/>
    </row>
    <row r="30" ht="21.0" customHeight="1">
      <c r="A30" s="237"/>
      <c r="B30" s="269"/>
      <c r="C30" s="237"/>
      <c r="D30" s="237"/>
      <c r="E30" s="270" t="str">
        <f>IF($A30="","",IF($B30="","",IF('4. Compliance'!$B$4="Section 11 ECB",VLOOKUP($A30,'Lighting Lookup'!$E$2:$G$108,2),VLOOKUP($A30,'Lighting Lookup'!$E$2:$G$108,3))))</f>
        <v/>
      </c>
      <c r="F30" s="269"/>
      <c r="G30" s="273"/>
      <c r="H30" s="237"/>
      <c r="I30" s="232"/>
      <c r="J30" s="272"/>
      <c r="K30" s="272"/>
      <c r="L30" s="109"/>
      <c r="M30" s="109"/>
    </row>
    <row r="31" ht="21.0" customHeight="1">
      <c r="A31" s="298" t="s">
        <v>328</v>
      </c>
      <c r="B31" s="299">
        <f>SUM(B7:B30)</f>
        <v>0</v>
      </c>
      <c r="C31" s="300"/>
      <c r="D31" s="300"/>
      <c r="E31" s="301" t="str">
        <f>IF(B31="","",SUMPRODUCT(B7:B30,E7:E30)/B31)</f>
        <v>#DIV/0!</v>
      </c>
      <c r="F31" s="299"/>
      <c r="G31" s="299"/>
      <c r="H31" s="300"/>
      <c r="I31" s="298"/>
      <c r="J31" s="301" t="str">
        <f>IF(J7="","",SUMPRODUCT(B7:B30,J7:J30)/B31)</f>
        <v/>
      </c>
      <c r="K31" s="301"/>
      <c r="L31" s="302"/>
      <c r="M31" s="302"/>
    </row>
    <row r="32" ht="15.75" customHeight="1">
      <c r="A32" s="303"/>
      <c r="B32" s="304"/>
      <c r="C32" s="304"/>
      <c r="D32" s="304"/>
      <c r="E32" s="305"/>
      <c r="F32" s="304"/>
      <c r="G32" s="304"/>
      <c r="H32" s="304"/>
      <c r="I32" s="304"/>
      <c r="J32" s="304"/>
      <c r="K32" s="304"/>
      <c r="L32" s="304"/>
      <c r="M32" s="306"/>
    </row>
    <row r="33" ht="15.75" customHeight="1">
      <c r="A33" s="307"/>
      <c r="B33" s="4"/>
      <c r="C33" s="4"/>
      <c r="D33" s="4"/>
      <c r="E33" s="260"/>
      <c r="F33" s="4"/>
      <c r="G33" s="4"/>
      <c r="H33" s="4"/>
      <c r="I33" s="4"/>
      <c r="J33" s="4"/>
      <c r="K33" s="4"/>
      <c r="L33" s="4"/>
      <c r="M33" s="308"/>
    </row>
    <row r="34" ht="15.75" customHeight="1">
      <c r="A34" s="307"/>
      <c r="B34" s="4"/>
      <c r="C34" s="4"/>
      <c r="D34" s="4"/>
      <c r="E34" s="260"/>
      <c r="F34" s="4"/>
      <c r="G34" s="4"/>
      <c r="H34" s="4"/>
      <c r="I34" s="4"/>
      <c r="J34" s="4"/>
      <c r="K34" s="4"/>
      <c r="L34" s="4"/>
      <c r="M34" s="308"/>
    </row>
    <row r="35" ht="15.75" customHeight="1">
      <c r="A35" s="307"/>
      <c r="B35" s="4"/>
      <c r="C35" s="4"/>
      <c r="D35" s="4"/>
      <c r="E35" s="260"/>
      <c r="F35" s="4"/>
      <c r="G35" s="4"/>
      <c r="H35" s="4"/>
      <c r="I35" s="4"/>
      <c r="J35" s="4"/>
      <c r="K35" s="4"/>
      <c r="L35" s="4"/>
      <c r="M35" s="308"/>
    </row>
    <row r="36" ht="15.75" customHeight="1">
      <c r="A36" s="307"/>
      <c r="B36" s="4"/>
      <c r="C36" s="4"/>
      <c r="D36" s="4"/>
      <c r="E36" s="260"/>
      <c r="F36" s="4"/>
      <c r="G36" s="4"/>
      <c r="H36" s="4"/>
      <c r="I36" s="4"/>
      <c r="J36" s="4"/>
      <c r="K36" s="4"/>
      <c r="L36" s="4"/>
      <c r="M36" s="308"/>
    </row>
    <row r="37" ht="15.75" customHeight="1">
      <c r="A37" s="307"/>
      <c r="B37" s="4"/>
      <c r="C37" s="4"/>
      <c r="D37" s="4"/>
      <c r="E37" s="260"/>
      <c r="F37" s="4"/>
      <c r="G37" s="4"/>
      <c r="H37" s="4"/>
      <c r="I37" s="4"/>
      <c r="J37" s="4"/>
      <c r="K37" s="4"/>
      <c r="L37" s="4"/>
      <c r="M37" s="308"/>
    </row>
    <row r="38" ht="15.75" customHeight="1">
      <c r="A38" s="307"/>
      <c r="B38" s="4"/>
      <c r="C38" s="4"/>
      <c r="D38" s="4"/>
      <c r="E38" s="260"/>
      <c r="F38" s="4"/>
      <c r="G38" s="4"/>
      <c r="H38" s="4"/>
      <c r="I38" s="4"/>
      <c r="J38" s="4"/>
      <c r="K38" s="4"/>
      <c r="L38" s="4"/>
      <c r="M38" s="308"/>
    </row>
    <row r="39" ht="15.75" customHeight="1">
      <c r="A39" s="307"/>
      <c r="B39" s="4"/>
      <c r="C39" s="4"/>
      <c r="D39" s="4"/>
      <c r="E39" s="260"/>
      <c r="F39" s="4"/>
      <c r="G39" s="4"/>
      <c r="H39" s="4"/>
      <c r="I39" s="4"/>
      <c r="J39" s="4"/>
      <c r="K39" s="4"/>
      <c r="L39" s="4"/>
      <c r="M39" s="308"/>
    </row>
    <row r="40" ht="15.75" customHeight="1">
      <c r="A40" s="307"/>
      <c r="B40" s="4"/>
      <c r="C40" s="4"/>
      <c r="D40" s="4"/>
      <c r="E40" s="260"/>
      <c r="F40" s="4"/>
      <c r="G40" s="4"/>
      <c r="H40" s="4"/>
      <c r="I40" s="4"/>
      <c r="J40" s="4"/>
      <c r="K40" s="4"/>
      <c r="L40" s="4"/>
      <c r="M40" s="308"/>
    </row>
    <row r="41" ht="15.75" customHeight="1">
      <c r="A41" s="307"/>
      <c r="B41" s="4"/>
      <c r="C41" s="4"/>
      <c r="D41" s="4"/>
      <c r="E41" s="260"/>
      <c r="F41" s="4"/>
      <c r="G41" s="4"/>
      <c r="H41" s="4"/>
      <c r="I41" s="4"/>
      <c r="J41" s="4"/>
      <c r="K41" s="4"/>
      <c r="L41" s="4"/>
      <c r="M41" s="308"/>
    </row>
    <row r="42" ht="15.75" customHeight="1">
      <c r="A42" s="307"/>
      <c r="B42" s="4"/>
      <c r="C42" s="4"/>
      <c r="D42" s="4"/>
      <c r="E42" s="260"/>
      <c r="F42" s="4"/>
      <c r="G42" s="4"/>
      <c r="H42" s="4"/>
      <c r="I42" s="4"/>
      <c r="J42" s="4"/>
      <c r="K42" s="4"/>
      <c r="L42" s="4"/>
      <c r="M42" s="308"/>
    </row>
    <row r="43" ht="15.75" customHeight="1">
      <c r="A43" s="307"/>
      <c r="B43" s="4"/>
      <c r="C43" s="4"/>
      <c r="D43" s="4"/>
      <c r="E43" s="260"/>
      <c r="F43" s="4"/>
      <c r="G43" s="4"/>
      <c r="H43" s="4"/>
      <c r="I43" s="4"/>
      <c r="J43" s="4"/>
      <c r="K43" s="4"/>
      <c r="L43" s="4"/>
      <c r="M43" s="308"/>
    </row>
    <row r="44" ht="15.75" customHeight="1">
      <c r="A44" s="307"/>
      <c r="B44" s="4"/>
      <c r="C44" s="4"/>
      <c r="D44" s="4"/>
      <c r="E44" s="260"/>
      <c r="F44" s="4"/>
      <c r="G44" s="4"/>
      <c r="H44" s="4"/>
      <c r="I44" s="4"/>
      <c r="J44" s="4"/>
      <c r="K44" s="4"/>
      <c r="L44" s="4"/>
      <c r="M44" s="308"/>
    </row>
    <row r="45" ht="15.75" customHeight="1">
      <c r="A45" s="307"/>
      <c r="B45" s="4"/>
      <c r="C45" s="4"/>
      <c r="D45" s="4"/>
      <c r="E45" s="260"/>
      <c r="F45" s="4"/>
      <c r="G45" s="4"/>
      <c r="H45" s="4"/>
      <c r="I45" s="4"/>
      <c r="J45" s="4"/>
      <c r="K45" s="4"/>
      <c r="L45" s="4"/>
      <c r="M45" s="308"/>
    </row>
    <row r="46" ht="15.75" customHeight="1">
      <c r="A46" s="309"/>
      <c r="B46" s="310"/>
      <c r="C46" s="310"/>
      <c r="D46" s="310"/>
      <c r="E46" s="311"/>
      <c r="F46" s="310"/>
      <c r="G46" s="310"/>
      <c r="H46" s="310"/>
      <c r="I46" s="310"/>
      <c r="J46" s="310"/>
      <c r="K46" s="310"/>
      <c r="L46" s="310"/>
      <c r="M46" s="312"/>
    </row>
    <row r="47" ht="15.75" customHeight="1">
      <c r="A47" s="135"/>
      <c r="B47" s="4"/>
      <c r="C47" s="4"/>
      <c r="D47" s="4"/>
      <c r="E47" s="260"/>
      <c r="F47" s="4"/>
      <c r="G47" s="4"/>
      <c r="H47" s="4"/>
      <c r="I47" s="4"/>
      <c r="J47" s="4"/>
      <c r="K47" s="4"/>
      <c r="L47" s="4"/>
      <c r="M47" s="4"/>
    </row>
    <row r="48" ht="15.75" customHeight="1">
      <c r="A48" s="135"/>
      <c r="B48" s="4"/>
      <c r="C48" s="4"/>
      <c r="D48" s="4"/>
      <c r="E48" s="260"/>
      <c r="F48" s="4"/>
      <c r="G48" s="4"/>
      <c r="H48" s="4"/>
      <c r="I48" s="4"/>
      <c r="J48" s="4"/>
      <c r="K48" s="4"/>
      <c r="L48" s="4"/>
      <c r="M48" s="4"/>
    </row>
    <row r="49" ht="15.75" customHeight="1">
      <c r="A49" s="135"/>
      <c r="B49" s="4"/>
      <c r="C49" s="4"/>
      <c r="D49" s="4"/>
      <c r="E49" s="260"/>
      <c r="F49" s="4"/>
      <c r="G49" s="4"/>
      <c r="H49" s="4"/>
      <c r="I49" s="4"/>
      <c r="J49" s="4"/>
      <c r="K49" s="4"/>
      <c r="L49" s="4"/>
      <c r="M49" s="4"/>
    </row>
    <row r="50" ht="15.75" customHeight="1">
      <c r="A50" s="135"/>
      <c r="B50" s="4"/>
      <c r="C50" s="4"/>
      <c r="D50" s="4"/>
      <c r="E50" s="260"/>
      <c r="F50" s="4"/>
      <c r="G50" s="4"/>
      <c r="H50" s="4"/>
      <c r="I50" s="4"/>
      <c r="J50" s="4"/>
      <c r="K50" s="4"/>
      <c r="L50" s="4"/>
      <c r="M50" s="4"/>
    </row>
    <row r="51" ht="15.75" customHeight="1">
      <c r="A51" s="135"/>
      <c r="B51" s="4"/>
      <c r="C51" s="4"/>
      <c r="D51" s="4"/>
      <c r="E51" s="260"/>
      <c r="F51" s="4"/>
      <c r="G51" s="4"/>
      <c r="H51" s="4"/>
      <c r="I51" s="4"/>
      <c r="J51" s="4"/>
      <c r="K51" s="4"/>
      <c r="L51" s="4"/>
      <c r="M51" s="4"/>
    </row>
    <row r="52" ht="15.75" customHeight="1">
      <c r="A52" s="135"/>
      <c r="B52" s="4"/>
      <c r="C52" s="4"/>
      <c r="D52" s="4"/>
      <c r="E52" s="260"/>
      <c r="F52" s="4"/>
      <c r="G52" s="4"/>
      <c r="H52" s="4"/>
      <c r="I52" s="4"/>
      <c r="J52" s="4"/>
      <c r="K52" s="4"/>
      <c r="L52" s="4"/>
      <c r="M52" s="4"/>
    </row>
    <row r="53" ht="15.75" customHeight="1">
      <c r="A53" s="135"/>
      <c r="B53" s="4"/>
      <c r="C53" s="4"/>
      <c r="D53" s="4"/>
      <c r="E53" s="260"/>
      <c r="F53" s="4"/>
      <c r="G53" s="4"/>
      <c r="H53" s="4"/>
      <c r="I53" s="4"/>
      <c r="J53" s="4"/>
      <c r="K53" s="4"/>
      <c r="L53" s="4"/>
      <c r="M53" s="4"/>
    </row>
    <row r="54" ht="15.75" customHeight="1">
      <c r="A54" s="135"/>
      <c r="B54" s="4"/>
      <c r="C54" s="4"/>
      <c r="D54" s="4"/>
      <c r="E54" s="260"/>
      <c r="F54" s="4"/>
      <c r="G54" s="4"/>
      <c r="H54" s="4"/>
      <c r="I54" s="4"/>
      <c r="J54" s="4"/>
      <c r="K54" s="4"/>
      <c r="L54" s="4"/>
      <c r="M54" s="4"/>
    </row>
    <row r="55" ht="15.75" customHeight="1">
      <c r="A55" s="135"/>
      <c r="B55" s="4"/>
      <c r="C55" s="4"/>
      <c r="D55" s="4"/>
      <c r="E55" s="260"/>
      <c r="F55" s="4"/>
      <c r="G55" s="4"/>
      <c r="H55" s="4"/>
      <c r="I55" s="4"/>
      <c r="J55" s="4"/>
      <c r="K55" s="4"/>
      <c r="L55" s="4"/>
      <c r="M55" s="4"/>
    </row>
    <row r="56" ht="15.75" customHeight="1">
      <c r="A56" s="135"/>
      <c r="B56" s="4"/>
      <c r="C56" s="4"/>
      <c r="D56" s="4"/>
      <c r="E56" s="260"/>
      <c r="F56" s="4"/>
      <c r="G56" s="4"/>
      <c r="H56" s="4"/>
      <c r="I56" s="4"/>
      <c r="J56" s="4"/>
      <c r="K56" s="4"/>
      <c r="L56" s="4"/>
      <c r="M56" s="4"/>
    </row>
    <row r="57" ht="15.75" customHeight="1">
      <c r="A57" s="135"/>
      <c r="B57" s="4"/>
      <c r="C57" s="4"/>
      <c r="D57" s="4"/>
      <c r="E57" s="260"/>
      <c r="F57" s="4"/>
      <c r="G57" s="4"/>
      <c r="H57" s="4"/>
      <c r="I57" s="4"/>
      <c r="J57" s="4"/>
      <c r="K57" s="4"/>
      <c r="L57" s="4"/>
      <c r="M57" s="4"/>
    </row>
    <row r="58" ht="15.75" customHeight="1">
      <c r="A58" s="135"/>
      <c r="B58" s="4"/>
      <c r="C58" s="4"/>
      <c r="D58" s="4"/>
      <c r="E58" s="260"/>
      <c r="F58" s="4"/>
      <c r="G58" s="4"/>
      <c r="H58" s="4"/>
      <c r="I58" s="4"/>
      <c r="J58" s="4"/>
      <c r="K58" s="4"/>
      <c r="L58" s="4"/>
      <c r="M58" s="4"/>
    </row>
    <row r="59" ht="15.75" customHeight="1">
      <c r="A59" s="135"/>
      <c r="B59" s="4"/>
      <c r="C59" s="4"/>
      <c r="D59" s="4"/>
      <c r="E59" s="260"/>
      <c r="F59" s="4"/>
      <c r="G59" s="4"/>
      <c r="H59" s="4"/>
      <c r="I59" s="4"/>
      <c r="J59" s="4"/>
      <c r="K59" s="4"/>
      <c r="L59" s="4"/>
      <c r="M59" s="4"/>
    </row>
    <row r="60" ht="15.75" customHeight="1">
      <c r="A60" s="135"/>
      <c r="B60" s="4"/>
      <c r="C60" s="4"/>
      <c r="D60" s="4"/>
      <c r="E60" s="260"/>
      <c r="F60" s="4"/>
      <c r="G60" s="4"/>
      <c r="H60" s="4"/>
      <c r="I60" s="4"/>
      <c r="J60" s="4"/>
      <c r="K60" s="4"/>
      <c r="L60" s="4"/>
      <c r="M60" s="4"/>
    </row>
    <row r="61" ht="15.75" customHeight="1">
      <c r="A61" s="135"/>
      <c r="B61" s="4"/>
      <c r="C61" s="4"/>
      <c r="D61" s="4"/>
      <c r="E61" s="260"/>
      <c r="F61" s="4"/>
      <c r="G61" s="4"/>
      <c r="H61" s="4"/>
      <c r="I61" s="4"/>
      <c r="J61" s="4"/>
      <c r="K61" s="4"/>
      <c r="L61" s="4"/>
      <c r="M61" s="4"/>
    </row>
    <row r="62" ht="15.75" customHeight="1">
      <c r="A62" s="135"/>
      <c r="B62" s="4"/>
      <c r="C62" s="4"/>
      <c r="D62" s="4"/>
      <c r="E62" s="260"/>
      <c r="F62" s="4"/>
      <c r="G62" s="4"/>
      <c r="H62" s="4"/>
      <c r="I62" s="4"/>
      <c r="J62" s="4"/>
      <c r="K62" s="4"/>
      <c r="L62" s="4"/>
      <c r="M62" s="4"/>
    </row>
    <row r="63" ht="15.75" customHeight="1">
      <c r="A63" s="135"/>
      <c r="B63" s="4"/>
      <c r="C63" s="4"/>
      <c r="D63" s="4"/>
      <c r="E63" s="260"/>
      <c r="F63" s="4"/>
      <c r="G63" s="4"/>
      <c r="H63" s="4"/>
      <c r="I63" s="4"/>
      <c r="J63" s="4"/>
      <c r="K63" s="4"/>
      <c r="L63" s="4"/>
      <c r="M63" s="4"/>
    </row>
    <row r="64" ht="15.75" customHeight="1">
      <c r="A64" s="135"/>
      <c r="B64" s="4"/>
      <c r="C64" s="4"/>
      <c r="D64" s="4"/>
      <c r="E64" s="260"/>
      <c r="F64" s="4"/>
      <c r="G64" s="4"/>
      <c r="H64" s="4"/>
      <c r="I64" s="4"/>
      <c r="J64" s="4"/>
      <c r="K64" s="4"/>
      <c r="L64" s="4"/>
      <c r="M64" s="4"/>
    </row>
    <row r="65" ht="15.75" customHeight="1">
      <c r="A65" s="135"/>
      <c r="B65" s="4"/>
      <c r="C65" s="4"/>
      <c r="D65" s="4"/>
      <c r="E65" s="260"/>
      <c r="F65" s="4"/>
      <c r="G65" s="4"/>
      <c r="H65" s="4"/>
      <c r="I65" s="4"/>
      <c r="J65" s="4"/>
      <c r="K65" s="4"/>
      <c r="L65" s="4"/>
      <c r="M65" s="4"/>
    </row>
    <row r="66" ht="15.75" customHeight="1">
      <c r="A66" s="135"/>
      <c r="B66" s="4"/>
      <c r="C66" s="4"/>
      <c r="D66" s="4"/>
      <c r="E66" s="260"/>
      <c r="F66" s="4"/>
      <c r="G66" s="4"/>
      <c r="H66" s="4"/>
      <c r="I66" s="4"/>
      <c r="J66" s="4"/>
      <c r="K66" s="4"/>
      <c r="L66" s="4"/>
      <c r="M66" s="4"/>
    </row>
    <row r="67" ht="15.75" customHeight="1">
      <c r="A67" s="135"/>
      <c r="B67" s="4"/>
      <c r="C67" s="4"/>
      <c r="D67" s="4"/>
      <c r="E67" s="260"/>
      <c r="F67" s="4"/>
      <c r="G67" s="4"/>
      <c r="H67" s="4"/>
      <c r="I67" s="4"/>
      <c r="J67" s="4"/>
      <c r="K67" s="4"/>
      <c r="L67" s="4"/>
      <c r="M67" s="4"/>
    </row>
    <row r="68" ht="15.75" customHeight="1">
      <c r="A68" s="135"/>
      <c r="B68" s="4"/>
      <c r="C68" s="4"/>
      <c r="D68" s="4"/>
      <c r="E68" s="260"/>
      <c r="F68" s="4"/>
      <c r="G68" s="4"/>
      <c r="H68" s="4"/>
      <c r="I68" s="4"/>
      <c r="J68" s="4"/>
      <c r="K68" s="4"/>
      <c r="L68" s="4"/>
      <c r="M68" s="4"/>
    </row>
    <row r="69" ht="15.75" customHeight="1">
      <c r="A69" s="135"/>
      <c r="B69" s="4"/>
      <c r="C69" s="4"/>
      <c r="D69" s="4"/>
      <c r="E69" s="260"/>
      <c r="F69" s="4"/>
      <c r="G69" s="4"/>
      <c r="H69" s="4"/>
      <c r="I69" s="4"/>
      <c r="J69" s="4"/>
      <c r="K69" s="4"/>
      <c r="L69" s="4"/>
      <c r="M69" s="4"/>
    </row>
    <row r="70" ht="15.75" customHeight="1">
      <c r="A70" s="135"/>
      <c r="B70" s="4"/>
      <c r="C70" s="4"/>
      <c r="D70" s="4"/>
      <c r="E70" s="260"/>
      <c r="F70" s="4"/>
      <c r="G70" s="4"/>
      <c r="H70" s="4"/>
      <c r="I70" s="4"/>
      <c r="J70" s="4"/>
      <c r="K70" s="4"/>
      <c r="L70" s="4"/>
      <c r="M70" s="4"/>
    </row>
    <row r="71" ht="15.75" customHeight="1">
      <c r="A71" s="135"/>
      <c r="B71" s="4"/>
      <c r="C71" s="4"/>
      <c r="D71" s="4"/>
      <c r="E71" s="260"/>
      <c r="F71" s="4"/>
      <c r="G71" s="4"/>
      <c r="H71" s="4"/>
      <c r="I71" s="4"/>
      <c r="J71" s="4"/>
      <c r="K71" s="4"/>
      <c r="L71" s="4"/>
      <c r="M71" s="4"/>
    </row>
    <row r="72" ht="15.75" customHeight="1">
      <c r="A72" s="135"/>
      <c r="B72" s="4"/>
      <c r="C72" s="4"/>
      <c r="D72" s="4"/>
      <c r="E72" s="260"/>
      <c r="F72" s="4"/>
      <c r="G72" s="4"/>
      <c r="H72" s="4"/>
      <c r="I72" s="4"/>
      <c r="J72" s="4"/>
      <c r="K72" s="4"/>
      <c r="L72" s="4"/>
      <c r="M72" s="4"/>
    </row>
    <row r="73" ht="15.75" customHeight="1">
      <c r="A73" s="135"/>
      <c r="B73" s="4"/>
      <c r="C73" s="4"/>
      <c r="D73" s="4"/>
      <c r="E73" s="260"/>
      <c r="F73" s="4"/>
      <c r="G73" s="4"/>
      <c r="H73" s="4"/>
      <c r="I73" s="4"/>
      <c r="J73" s="4"/>
      <c r="K73" s="4"/>
      <c r="L73" s="4"/>
      <c r="M73" s="4"/>
    </row>
    <row r="74" ht="15.75" customHeight="1">
      <c r="A74" s="135"/>
      <c r="B74" s="4"/>
      <c r="C74" s="4"/>
      <c r="D74" s="4"/>
      <c r="E74" s="260"/>
      <c r="F74" s="4"/>
      <c r="G74" s="4"/>
      <c r="H74" s="4"/>
      <c r="I74" s="4"/>
      <c r="J74" s="4"/>
      <c r="K74" s="4"/>
      <c r="L74" s="4"/>
      <c r="M74" s="4"/>
    </row>
    <row r="75" ht="15.75" customHeight="1">
      <c r="A75" s="135"/>
      <c r="B75" s="4"/>
      <c r="C75" s="4"/>
      <c r="D75" s="4"/>
      <c r="E75" s="260"/>
      <c r="F75" s="4"/>
      <c r="G75" s="4"/>
      <c r="H75" s="4"/>
      <c r="I75" s="4"/>
      <c r="J75" s="4"/>
      <c r="K75" s="4"/>
      <c r="L75" s="4"/>
      <c r="M75" s="4"/>
    </row>
    <row r="76" ht="15.75" customHeight="1">
      <c r="A76" s="135"/>
      <c r="B76" s="4"/>
      <c r="C76" s="4"/>
      <c r="D76" s="4"/>
      <c r="E76" s="260"/>
      <c r="F76" s="4"/>
      <c r="G76" s="4"/>
      <c r="H76" s="4"/>
      <c r="I76" s="4"/>
      <c r="J76" s="4"/>
      <c r="K76" s="4"/>
      <c r="L76" s="4"/>
      <c r="M76" s="4"/>
    </row>
    <row r="77" ht="15.75" customHeight="1">
      <c r="A77" s="135"/>
      <c r="B77" s="4"/>
      <c r="C77" s="4"/>
      <c r="D77" s="4"/>
      <c r="E77" s="260"/>
      <c r="F77" s="4"/>
      <c r="G77" s="4"/>
      <c r="H77" s="4"/>
      <c r="I77" s="4"/>
      <c r="J77" s="4"/>
      <c r="K77" s="4"/>
      <c r="L77" s="4"/>
      <c r="M77" s="4"/>
    </row>
    <row r="78" ht="15.75" customHeight="1">
      <c r="A78" s="135"/>
      <c r="B78" s="4"/>
      <c r="C78" s="4"/>
      <c r="D78" s="4"/>
      <c r="E78" s="260"/>
      <c r="F78" s="4"/>
      <c r="G78" s="4"/>
      <c r="H78" s="4"/>
      <c r="I78" s="4"/>
      <c r="J78" s="4"/>
      <c r="K78" s="4"/>
      <c r="L78" s="4"/>
      <c r="M78" s="4"/>
    </row>
    <row r="79" ht="15.75" customHeight="1">
      <c r="A79" s="135"/>
      <c r="B79" s="4"/>
      <c r="C79" s="4"/>
      <c r="D79" s="4"/>
      <c r="E79" s="260"/>
      <c r="F79" s="4"/>
      <c r="G79" s="4"/>
      <c r="H79" s="4"/>
      <c r="I79" s="4"/>
      <c r="J79" s="4"/>
      <c r="K79" s="4"/>
      <c r="L79" s="4"/>
      <c r="M79" s="4"/>
    </row>
    <row r="80" ht="15.75" customHeight="1">
      <c r="A80" s="135"/>
      <c r="B80" s="4"/>
      <c r="C80" s="4"/>
      <c r="D80" s="4"/>
      <c r="E80" s="260"/>
      <c r="F80" s="4"/>
      <c r="G80" s="4"/>
      <c r="H80" s="4"/>
      <c r="I80" s="4"/>
      <c r="J80" s="4"/>
      <c r="K80" s="4"/>
      <c r="L80" s="4"/>
      <c r="M80" s="4"/>
    </row>
    <row r="81" ht="15.75" customHeight="1">
      <c r="A81" s="135"/>
      <c r="B81" s="4"/>
      <c r="C81" s="4"/>
      <c r="D81" s="4"/>
      <c r="E81" s="260"/>
      <c r="F81" s="4"/>
      <c r="G81" s="4"/>
      <c r="H81" s="4"/>
      <c r="I81" s="4"/>
      <c r="J81" s="4"/>
      <c r="K81" s="4"/>
      <c r="L81" s="4"/>
      <c r="M81" s="4"/>
    </row>
    <row r="82" ht="15.75" customHeight="1">
      <c r="A82" s="135"/>
      <c r="B82" s="4"/>
      <c r="C82" s="4"/>
      <c r="D82" s="4"/>
      <c r="E82" s="260"/>
      <c r="F82" s="4"/>
      <c r="G82" s="4"/>
      <c r="H82" s="4"/>
      <c r="I82" s="4"/>
      <c r="J82" s="4"/>
      <c r="K82" s="4"/>
      <c r="L82" s="4"/>
      <c r="M82" s="4"/>
    </row>
    <row r="83" ht="15.75" customHeight="1">
      <c r="A83" s="135"/>
      <c r="B83" s="4"/>
      <c r="C83" s="4"/>
      <c r="D83" s="4"/>
      <c r="E83" s="260"/>
      <c r="F83" s="4"/>
      <c r="G83" s="4"/>
      <c r="H83" s="4"/>
      <c r="I83" s="4"/>
      <c r="J83" s="4"/>
      <c r="K83" s="4"/>
      <c r="L83" s="4"/>
      <c r="M83" s="4"/>
    </row>
    <row r="84" ht="15.75" customHeight="1">
      <c r="A84" s="135"/>
      <c r="B84" s="4"/>
      <c r="C84" s="4"/>
      <c r="D84" s="4"/>
      <c r="E84" s="260"/>
      <c r="F84" s="4"/>
      <c r="G84" s="4"/>
      <c r="H84" s="4"/>
      <c r="I84" s="4"/>
      <c r="J84" s="4"/>
      <c r="K84" s="4"/>
      <c r="L84" s="4"/>
      <c r="M84" s="4"/>
    </row>
    <row r="85" ht="15.75" customHeight="1">
      <c r="A85" s="135"/>
      <c r="B85" s="4"/>
      <c r="C85" s="4"/>
      <c r="D85" s="4"/>
      <c r="E85" s="260"/>
      <c r="F85" s="4"/>
      <c r="G85" s="4"/>
      <c r="H85" s="4"/>
      <c r="I85" s="4"/>
      <c r="J85" s="4"/>
      <c r="K85" s="4"/>
      <c r="L85" s="4"/>
      <c r="M85" s="4"/>
    </row>
    <row r="86" ht="15.75" customHeight="1">
      <c r="A86" s="135"/>
      <c r="B86" s="4"/>
      <c r="C86" s="4"/>
      <c r="D86" s="4"/>
      <c r="E86" s="260"/>
      <c r="F86" s="4"/>
      <c r="G86" s="4"/>
      <c r="H86" s="4"/>
      <c r="I86" s="4"/>
      <c r="J86" s="4"/>
      <c r="K86" s="4"/>
      <c r="L86" s="4"/>
      <c r="M86" s="4"/>
    </row>
    <row r="87" ht="15.75" customHeight="1">
      <c r="A87" s="135"/>
      <c r="B87" s="4"/>
      <c r="C87" s="4"/>
      <c r="D87" s="4"/>
      <c r="E87" s="260"/>
      <c r="F87" s="4"/>
      <c r="G87" s="4"/>
      <c r="H87" s="4"/>
      <c r="I87" s="4"/>
      <c r="J87" s="4"/>
      <c r="K87" s="4"/>
      <c r="L87" s="4"/>
      <c r="M87" s="4"/>
    </row>
    <row r="88" ht="15.75" customHeight="1">
      <c r="A88" s="135"/>
      <c r="B88" s="4"/>
      <c r="C88" s="4"/>
      <c r="D88" s="4"/>
      <c r="E88" s="260"/>
      <c r="F88" s="4"/>
      <c r="G88" s="4"/>
      <c r="H88" s="4"/>
      <c r="I88" s="4"/>
      <c r="J88" s="4"/>
      <c r="K88" s="4"/>
      <c r="L88" s="4"/>
      <c r="M88" s="4"/>
    </row>
    <row r="89" ht="15.75" customHeight="1">
      <c r="A89" s="135"/>
      <c r="B89" s="4"/>
      <c r="C89" s="4"/>
      <c r="D89" s="4"/>
      <c r="E89" s="260"/>
      <c r="F89" s="4"/>
      <c r="G89" s="4"/>
      <c r="H89" s="4"/>
      <c r="I89" s="4"/>
      <c r="J89" s="4"/>
      <c r="K89" s="4"/>
      <c r="L89" s="4"/>
      <c r="M89" s="4"/>
    </row>
    <row r="90" ht="15.75" customHeight="1">
      <c r="A90" s="135"/>
      <c r="B90" s="4"/>
      <c r="C90" s="4"/>
      <c r="D90" s="4"/>
      <c r="E90" s="260"/>
      <c r="F90" s="4"/>
      <c r="G90" s="4"/>
      <c r="H90" s="4"/>
      <c r="I90" s="4"/>
      <c r="J90" s="4"/>
      <c r="K90" s="4"/>
      <c r="L90" s="4"/>
      <c r="M90" s="4"/>
    </row>
    <row r="91" ht="15.75" customHeight="1">
      <c r="A91" s="135"/>
      <c r="B91" s="4"/>
      <c r="C91" s="4"/>
      <c r="D91" s="4"/>
      <c r="E91" s="260"/>
      <c r="F91" s="4"/>
      <c r="G91" s="4"/>
      <c r="H91" s="4"/>
      <c r="I91" s="4"/>
      <c r="J91" s="4"/>
      <c r="K91" s="4"/>
      <c r="L91" s="4"/>
      <c r="M91" s="4"/>
    </row>
    <row r="92" ht="15.75" customHeight="1">
      <c r="A92" s="135"/>
      <c r="B92" s="4"/>
      <c r="C92" s="4"/>
      <c r="D92" s="4"/>
      <c r="E92" s="260"/>
      <c r="F92" s="4"/>
      <c r="G92" s="4"/>
      <c r="H92" s="4"/>
      <c r="I92" s="4"/>
      <c r="J92" s="4"/>
      <c r="K92" s="4"/>
      <c r="L92" s="4"/>
      <c r="M92" s="4"/>
    </row>
    <row r="93" ht="15.75" customHeight="1">
      <c r="A93" s="135"/>
      <c r="B93" s="4"/>
      <c r="C93" s="4"/>
      <c r="D93" s="4"/>
      <c r="E93" s="260"/>
      <c r="F93" s="4"/>
      <c r="G93" s="4"/>
      <c r="H93" s="4"/>
      <c r="I93" s="4"/>
      <c r="J93" s="4"/>
      <c r="K93" s="4"/>
      <c r="L93" s="4"/>
      <c r="M93" s="4"/>
    </row>
    <row r="94" ht="15.75" customHeight="1">
      <c r="A94" s="135"/>
      <c r="B94" s="4"/>
      <c r="C94" s="4"/>
      <c r="D94" s="4"/>
      <c r="E94" s="260"/>
      <c r="F94" s="4"/>
      <c r="G94" s="4"/>
      <c r="H94" s="4"/>
      <c r="I94" s="4"/>
      <c r="J94" s="4"/>
      <c r="K94" s="4"/>
      <c r="L94" s="4"/>
      <c r="M94" s="4"/>
    </row>
    <row r="95" ht="15.75" customHeight="1">
      <c r="A95" s="135"/>
      <c r="B95" s="4"/>
      <c r="C95" s="4"/>
      <c r="D95" s="4"/>
      <c r="E95" s="260"/>
      <c r="F95" s="4"/>
      <c r="G95" s="4"/>
      <c r="H95" s="4"/>
      <c r="I95" s="4"/>
      <c r="J95" s="4"/>
      <c r="K95" s="4"/>
      <c r="L95" s="4"/>
      <c r="M95" s="4"/>
    </row>
    <row r="96" ht="15.75" customHeight="1">
      <c r="A96" s="135"/>
      <c r="B96" s="4"/>
      <c r="C96" s="4"/>
      <c r="D96" s="4"/>
      <c r="E96" s="260"/>
      <c r="F96" s="4"/>
      <c r="G96" s="4"/>
      <c r="H96" s="4"/>
      <c r="I96" s="4"/>
      <c r="J96" s="4"/>
      <c r="K96" s="4"/>
      <c r="L96" s="4"/>
      <c r="M96" s="4"/>
    </row>
    <row r="97" ht="15.75" customHeight="1">
      <c r="A97" s="135"/>
      <c r="B97" s="4"/>
      <c r="C97" s="4"/>
      <c r="D97" s="4"/>
      <c r="E97" s="260"/>
      <c r="F97" s="4"/>
      <c r="G97" s="4"/>
      <c r="H97" s="4"/>
      <c r="I97" s="4"/>
      <c r="J97" s="4"/>
      <c r="K97" s="4"/>
      <c r="L97" s="4"/>
      <c r="M97" s="4"/>
    </row>
    <row r="98" ht="15.75" customHeight="1">
      <c r="A98" s="135"/>
      <c r="B98" s="4"/>
      <c r="C98" s="4"/>
      <c r="D98" s="4"/>
      <c r="E98" s="260"/>
      <c r="F98" s="4"/>
      <c r="G98" s="4"/>
      <c r="H98" s="4"/>
      <c r="I98" s="4"/>
      <c r="J98" s="4"/>
      <c r="K98" s="4"/>
      <c r="L98" s="4"/>
      <c r="M98" s="4"/>
    </row>
    <row r="99" ht="15.75" customHeight="1">
      <c r="A99" s="135"/>
      <c r="B99" s="4"/>
      <c r="C99" s="4"/>
      <c r="D99" s="4"/>
      <c r="E99" s="260"/>
      <c r="F99" s="4"/>
      <c r="G99" s="4"/>
      <c r="H99" s="4"/>
      <c r="I99" s="4"/>
      <c r="J99" s="4"/>
      <c r="K99" s="4"/>
      <c r="L99" s="4"/>
      <c r="M99" s="4"/>
    </row>
    <row r="100" ht="15.75" customHeight="1">
      <c r="A100" s="135"/>
      <c r="B100" s="4"/>
      <c r="C100" s="4"/>
      <c r="D100" s="4"/>
      <c r="E100" s="260"/>
      <c r="F100" s="4"/>
      <c r="G100" s="4"/>
      <c r="H100" s="4"/>
      <c r="I100" s="4"/>
      <c r="J100" s="4"/>
      <c r="K100" s="4"/>
      <c r="L100" s="4"/>
      <c r="M100" s="4"/>
    </row>
    <row r="101" ht="15.75" customHeight="1">
      <c r="A101" s="135"/>
      <c r="B101" s="4"/>
      <c r="C101" s="4"/>
      <c r="D101" s="4"/>
      <c r="E101" s="260"/>
      <c r="F101" s="4"/>
      <c r="G101" s="4"/>
      <c r="H101" s="4"/>
      <c r="I101" s="4"/>
      <c r="J101" s="4"/>
      <c r="K101" s="4"/>
      <c r="L101" s="4"/>
      <c r="M101" s="4"/>
    </row>
    <row r="102" ht="15.75" customHeight="1">
      <c r="A102" s="135"/>
      <c r="B102" s="4"/>
      <c r="C102" s="4"/>
      <c r="D102" s="4"/>
      <c r="E102" s="260"/>
      <c r="F102" s="4"/>
      <c r="G102" s="4"/>
      <c r="H102" s="4"/>
      <c r="I102" s="4"/>
      <c r="J102" s="4"/>
      <c r="K102" s="4"/>
      <c r="L102" s="4"/>
      <c r="M102" s="4"/>
    </row>
    <row r="103" ht="15.75" customHeight="1">
      <c r="A103" s="135"/>
      <c r="B103" s="4"/>
      <c r="C103" s="4"/>
      <c r="D103" s="4"/>
      <c r="E103" s="260"/>
      <c r="F103" s="4"/>
      <c r="G103" s="4"/>
      <c r="H103" s="4"/>
      <c r="I103" s="4"/>
      <c r="J103" s="4"/>
      <c r="K103" s="4"/>
      <c r="L103" s="4"/>
      <c r="M103" s="4"/>
    </row>
    <row r="104" ht="15.75" customHeight="1">
      <c r="A104" s="135"/>
      <c r="B104" s="4"/>
      <c r="C104" s="4"/>
      <c r="D104" s="4"/>
      <c r="E104" s="260"/>
      <c r="F104" s="4"/>
      <c r="G104" s="4"/>
      <c r="H104" s="4"/>
      <c r="I104" s="4"/>
      <c r="J104" s="4"/>
      <c r="K104" s="4"/>
      <c r="L104" s="4"/>
      <c r="M104" s="4"/>
    </row>
    <row r="105" ht="15.75" customHeight="1">
      <c r="A105" s="135"/>
      <c r="B105" s="4"/>
      <c r="C105" s="4"/>
      <c r="D105" s="4"/>
      <c r="E105" s="260"/>
      <c r="F105" s="4"/>
      <c r="G105" s="4"/>
      <c r="H105" s="4"/>
      <c r="I105" s="4"/>
      <c r="J105" s="4"/>
      <c r="K105" s="4"/>
      <c r="L105" s="4"/>
      <c r="M105" s="4"/>
    </row>
    <row r="106" ht="15.75" customHeight="1">
      <c r="A106" s="135"/>
      <c r="B106" s="4"/>
      <c r="C106" s="4"/>
      <c r="D106" s="4"/>
      <c r="E106" s="260"/>
      <c r="F106" s="4"/>
      <c r="G106" s="4"/>
      <c r="H106" s="4"/>
      <c r="I106" s="4"/>
      <c r="J106" s="4"/>
      <c r="K106" s="4"/>
      <c r="L106" s="4"/>
      <c r="M106" s="4"/>
    </row>
    <row r="107" ht="15.75" customHeight="1">
      <c r="A107" s="135"/>
      <c r="B107" s="4"/>
      <c r="C107" s="4"/>
      <c r="D107" s="4"/>
      <c r="E107" s="260"/>
      <c r="F107" s="4"/>
      <c r="G107" s="4"/>
      <c r="H107" s="4"/>
      <c r="I107" s="4"/>
      <c r="J107" s="4"/>
      <c r="K107" s="4"/>
      <c r="L107" s="4"/>
      <c r="M107" s="4"/>
    </row>
    <row r="108" ht="15.75" customHeight="1">
      <c r="A108" s="135"/>
      <c r="B108" s="4"/>
      <c r="C108" s="4"/>
      <c r="D108" s="4"/>
      <c r="E108" s="260"/>
      <c r="F108" s="4"/>
      <c r="G108" s="4"/>
      <c r="H108" s="4"/>
      <c r="I108" s="4"/>
      <c r="J108" s="4"/>
      <c r="K108" s="4"/>
      <c r="L108" s="4"/>
      <c r="M108" s="4"/>
    </row>
    <row r="109" ht="15.75" customHeight="1">
      <c r="A109" s="135"/>
      <c r="B109" s="4"/>
      <c r="C109" s="4"/>
      <c r="D109" s="4"/>
      <c r="E109" s="260"/>
      <c r="F109" s="4"/>
      <c r="G109" s="4"/>
      <c r="H109" s="4"/>
      <c r="I109" s="4"/>
      <c r="J109" s="4"/>
      <c r="K109" s="4"/>
      <c r="L109" s="4"/>
      <c r="M109" s="4"/>
    </row>
    <row r="110" ht="15.75" customHeight="1">
      <c r="A110" s="135"/>
      <c r="B110" s="4"/>
      <c r="C110" s="4"/>
      <c r="D110" s="4"/>
      <c r="E110" s="260"/>
      <c r="F110" s="4"/>
      <c r="G110" s="4"/>
      <c r="H110" s="4"/>
      <c r="I110" s="4"/>
      <c r="J110" s="4"/>
      <c r="K110" s="4"/>
      <c r="L110" s="4"/>
      <c r="M110" s="4"/>
    </row>
    <row r="111" ht="15.75" customHeight="1">
      <c r="A111" s="135"/>
      <c r="B111" s="4"/>
      <c r="C111" s="4"/>
      <c r="D111" s="4"/>
      <c r="E111" s="260"/>
      <c r="F111" s="4"/>
      <c r="G111" s="4"/>
      <c r="H111" s="4"/>
      <c r="I111" s="4"/>
      <c r="J111" s="4"/>
      <c r="K111" s="4"/>
      <c r="L111" s="4"/>
      <c r="M111" s="4"/>
    </row>
    <row r="112" ht="15.75" customHeight="1">
      <c r="A112" s="135"/>
      <c r="B112" s="4"/>
      <c r="C112" s="4"/>
      <c r="D112" s="4"/>
      <c r="E112" s="260"/>
      <c r="F112" s="4"/>
      <c r="G112" s="4"/>
      <c r="H112" s="4"/>
      <c r="I112" s="4"/>
      <c r="J112" s="4"/>
      <c r="K112" s="4"/>
      <c r="L112" s="4"/>
      <c r="M112" s="4"/>
    </row>
    <row r="113" ht="15.75" customHeight="1">
      <c r="A113" s="135"/>
      <c r="B113" s="4"/>
      <c r="C113" s="4"/>
      <c r="D113" s="4"/>
      <c r="E113" s="260"/>
      <c r="F113" s="4"/>
      <c r="G113" s="4"/>
      <c r="H113" s="4"/>
      <c r="I113" s="4"/>
      <c r="J113" s="4"/>
      <c r="K113" s="4"/>
      <c r="L113" s="4"/>
      <c r="M113" s="4"/>
    </row>
    <row r="114" ht="15.75" customHeight="1">
      <c r="A114" s="135"/>
      <c r="B114" s="4"/>
      <c r="C114" s="4"/>
      <c r="D114" s="4"/>
      <c r="E114" s="260"/>
      <c r="F114" s="4"/>
      <c r="G114" s="4"/>
      <c r="H114" s="4"/>
      <c r="I114" s="4"/>
      <c r="J114" s="4"/>
      <c r="K114" s="4"/>
      <c r="L114" s="4"/>
      <c r="M114" s="4"/>
    </row>
    <row r="115" ht="15.75" customHeight="1">
      <c r="A115" s="135"/>
      <c r="B115" s="4"/>
      <c r="C115" s="4"/>
      <c r="D115" s="4"/>
      <c r="E115" s="260"/>
      <c r="F115" s="4"/>
      <c r="G115" s="4"/>
      <c r="H115" s="4"/>
      <c r="I115" s="4"/>
      <c r="J115" s="4"/>
      <c r="K115" s="4"/>
      <c r="L115" s="4"/>
      <c r="M115" s="4"/>
    </row>
    <row r="116" ht="15.75" customHeight="1">
      <c r="A116" s="135"/>
      <c r="B116" s="4"/>
      <c r="C116" s="4"/>
      <c r="D116" s="4"/>
      <c r="E116" s="260"/>
      <c r="F116" s="4"/>
      <c r="G116" s="4"/>
      <c r="H116" s="4"/>
      <c r="I116" s="4"/>
      <c r="J116" s="4"/>
      <c r="K116" s="4"/>
      <c r="L116" s="4"/>
      <c r="M116" s="4"/>
    </row>
    <row r="117" ht="15.75" customHeight="1">
      <c r="A117" s="135"/>
      <c r="B117" s="4"/>
      <c r="C117" s="4"/>
      <c r="D117" s="4"/>
      <c r="E117" s="260"/>
      <c r="F117" s="4"/>
      <c r="G117" s="4"/>
      <c r="H117" s="4"/>
      <c r="I117" s="4"/>
      <c r="J117" s="4"/>
      <c r="K117" s="4"/>
      <c r="L117" s="4"/>
      <c r="M117" s="4"/>
    </row>
    <row r="118" ht="15.75" customHeight="1">
      <c r="A118" s="135"/>
      <c r="B118" s="4"/>
      <c r="C118" s="4"/>
      <c r="D118" s="4"/>
      <c r="E118" s="260"/>
      <c r="F118" s="4"/>
      <c r="G118" s="4"/>
      <c r="H118" s="4"/>
      <c r="I118" s="4"/>
      <c r="J118" s="4"/>
      <c r="K118" s="4"/>
      <c r="L118" s="4"/>
      <c r="M118" s="4"/>
    </row>
    <row r="119" ht="15.75" customHeight="1">
      <c r="A119" s="135"/>
      <c r="B119" s="4"/>
      <c r="C119" s="4"/>
      <c r="D119" s="4"/>
      <c r="E119" s="260"/>
      <c r="F119" s="4"/>
      <c r="G119" s="4"/>
      <c r="H119" s="4"/>
      <c r="I119" s="4"/>
      <c r="J119" s="4"/>
      <c r="K119" s="4"/>
      <c r="L119" s="4"/>
      <c r="M119" s="4"/>
    </row>
    <row r="120" ht="15.75" customHeight="1">
      <c r="A120" s="135"/>
      <c r="B120" s="4"/>
      <c r="C120" s="4"/>
      <c r="D120" s="4"/>
      <c r="E120" s="260"/>
      <c r="F120" s="4"/>
      <c r="G120" s="4"/>
      <c r="H120" s="4"/>
      <c r="I120" s="4"/>
      <c r="J120" s="4"/>
      <c r="K120" s="4"/>
      <c r="L120" s="4"/>
      <c r="M120" s="4"/>
    </row>
    <row r="121" ht="15.75" customHeight="1">
      <c r="A121" s="135"/>
      <c r="B121" s="4"/>
      <c r="C121" s="4"/>
      <c r="D121" s="4"/>
      <c r="E121" s="260"/>
      <c r="F121" s="4"/>
      <c r="G121" s="4"/>
      <c r="H121" s="4"/>
      <c r="I121" s="4"/>
      <c r="J121" s="4"/>
      <c r="K121" s="4"/>
      <c r="L121" s="4"/>
      <c r="M121" s="4"/>
    </row>
    <row r="122" ht="15.75" customHeight="1">
      <c r="A122" s="135"/>
      <c r="B122" s="4"/>
      <c r="C122" s="4"/>
      <c r="D122" s="4"/>
      <c r="E122" s="260"/>
      <c r="F122" s="4"/>
      <c r="G122" s="4"/>
      <c r="H122" s="4"/>
      <c r="I122" s="4"/>
      <c r="J122" s="4"/>
      <c r="K122" s="4"/>
      <c r="L122" s="4"/>
      <c r="M122" s="4"/>
    </row>
    <row r="123" ht="15.75" customHeight="1">
      <c r="A123" s="135"/>
      <c r="B123" s="4"/>
      <c r="C123" s="4"/>
      <c r="D123" s="4"/>
      <c r="E123" s="260"/>
      <c r="F123" s="4"/>
      <c r="G123" s="4"/>
      <c r="H123" s="4"/>
      <c r="I123" s="4"/>
      <c r="J123" s="4"/>
      <c r="K123" s="4"/>
      <c r="L123" s="4"/>
      <c r="M123" s="4"/>
    </row>
    <row r="124" ht="15.75" customHeight="1">
      <c r="A124" s="135"/>
      <c r="B124" s="4"/>
      <c r="C124" s="4"/>
      <c r="D124" s="4"/>
      <c r="E124" s="260"/>
      <c r="F124" s="4"/>
      <c r="G124" s="4"/>
      <c r="H124" s="4"/>
      <c r="I124" s="4"/>
      <c r="J124" s="4"/>
      <c r="K124" s="4"/>
      <c r="L124" s="4"/>
      <c r="M124" s="4"/>
    </row>
    <row r="125" ht="15.75" customHeight="1">
      <c r="A125" s="135"/>
      <c r="B125" s="4"/>
      <c r="C125" s="4"/>
      <c r="D125" s="4"/>
      <c r="E125" s="260"/>
      <c r="F125" s="4"/>
      <c r="G125" s="4"/>
      <c r="H125" s="4"/>
      <c r="I125" s="4"/>
      <c r="J125" s="4"/>
      <c r="K125" s="4"/>
      <c r="L125" s="4"/>
      <c r="M125" s="4"/>
    </row>
    <row r="126" ht="15.75" customHeight="1">
      <c r="A126" s="135"/>
      <c r="B126" s="4"/>
      <c r="C126" s="4"/>
      <c r="D126" s="4"/>
      <c r="E126" s="260"/>
      <c r="F126" s="4"/>
      <c r="G126" s="4"/>
      <c r="H126" s="4"/>
      <c r="I126" s="4"/>
      <c r="J126" s="4"/>
      <c r="K126" s="4"/>
      <c r="L126" s="4"/>
      <c r="M126" s="4"/>
    </row>
    <row r="127" ht="15.75" customHeight="1">
      <c r="A127" s="135"/>
      <c r="B127" s="4"/>
      <c r="C127" s="4"/>
      <c r="D127" s="4"/>
      <c r="E127" s="260"/>
      <c r="F127" s="4"/>
      <c r="G127" s="4"/>
      <c r="H127" s="4"/>
      <c r="I127" s="4"/>
      <c r="J127" s="4"/>
      <c r="K127" s="4"/>
      <c r="L127" s="4"/>
      <c r="M127" s="4"/>
    </row>
    <row r="128" ht="15.75" customHeight="1">
      <c r="A128" s="135"/>
      <c r="B128" s="4"/>
      <c r="C128" s="4"/>
      <c r="D128" s="4"/>
      <c r="E128" s="260"/>
      <c r="F128" s="4"/>
      <c r="G128" s="4"/>
      <c r="H128" s="4"/>
      <c r="I128" s="4"/>
      <c r="J128" s="4"/>
      <c r="K128" s="4"/>
      <c r="L128" s="4"/>
      <c r="M128" s="4"/>
    </row>
    <row r="129" ht="15.75" customHeight="1">
      <c r="A129" s="135"/>
      <c r="B129" s="4"/>
      <c r="C129" s="4"/>
      <c r="D129" s="4"/>
      <c r="E129" s="260"/>
      <c r="F129" s="4"/>
      <c r="G129" s="4"/>
      <c r="H129" s="4"/>
      <c r="I129" s="4"/>
      <c r="J129" s="4"/>
      <c r="K129" s="4"/>
      <c r="L129" s="4"/>
      <c r="M129" s="4"/>
    </row>
    <row r="130" ht="15.75" customHeight="1">
      <c r="A130" s="135"/>
      <c r="B130" s="4"/>
      <c r="C130" s="4"/>
      <c r="D130" s="4"/>
      <c r="E130" s="260"/>
      <c r="F130" s="4"/>
      <c r="G130" s="4"/>
      <c r="H130" s="4"/>
      <c r="I130" s="4"/>
      <c r="J130" s="4"/>
      <c r="K130" s="4"/>
      <c r="L130" s="4"/>
      <c r="M130" s="4"/>
    </row>
    <row r="131" ht="15.75" customHeight="1">
      <c r="A131" s="135"/>
      <c r="B131" s="4"/>
      <c r="C131" s="4"/>
      <c r="D131" s="4"/>
      <c r="E131" s="260"/>
      <c r="F131" s="4"/>
      <c r="G131" s="4"/>
      <c r="H131" s="4"/>
      <c r="I131" s="4"/>
      <c r="J131" s="4"/>
      <c r="K131" s="4"/>
      <c r="L131" s="4"/>
      <c r="M131" s="4"/>
    </row>
    <row r="132" ht="15.75" customHeight="1">
      <c r="A132" s="135"/>
      <c r="B132" s="4"/>
      <c r="C132" s="4"/>
      <c r="D132" s="4"/>
      <c r="E132" s="260"/>
      <c r="F132" s="4"/>
      <c r="G132" s="4"/>
      <c r="H132" s="4"/>
      <c r="I132" s="4"/>
      <c r="J132" s="4"/>
      <c r="K132" s="4"/>
      <c r="L132" s="4"/>
      <c r="M132" s="4"/>
    </row>
    <row r="133" ht="15.75" customHeight="1">
      <c r="A133" s="135"/>
      <c r="B133" s="4"/>
      <c r="C133" s="4"/>
      <c r="D133" s="4"/>
      <c r="E133" s="260"/>
      <c r="F133" s="4"/>
      <c r="G133" s="4"/>
      <c r="H133" s="4"/>
      <c r="I133" s="4"/>
      <c r="J133" s="4"/>
      <c r="K133" s="4"/>
      <c r="L133" s="4"/>
      <c r="M133" s="4"/>
    </row>
    <row r="134" ht="15.75" customHeight="1">
      <c r="A134" s="135"/>
      <c r="B134" s="4"/>
      <c r="C134" s="4"/>
      <c r="D134" s="4"/>
      <c r="E134" s="260"/>
      <c r="F134" s="4"/>
      <c r="G134" s="4"/>
      <c r="H134" s="4"/>
      <c r="I134" s="4"/>
      <c r="J134" s="4"/>
      <c r="K134" s="4"/>
      <c r="L134" s="4"/>
      <c r="M134" s="4"/>
    </row>
    <row r="135" ht="15.75" customHeight="1">
      <c r="A135" s="135"/>
      <c r="B135" s="4"/>
      <c r="C135" s="4"/>
      <c r="D135" s="4"/>
      <c r="E135" s="260"/>
      <c r="F135" s="4"/>
      <c r="G135" s="4"/>
      <c r="H135" s="4"/>
      <c r="I135" s="4"/>
      <c r="J135" s="4"/>
      <c r="K135" s="4"/>
      <c r="L135" s="4"/>
      <c r="M135" s="4"/>
    </row>
    <row r="136" ht="15.75" customHeight="1">
      <c r="A136" s="135"/>
      <c r="B136" s="4"/>
      <c r="C136" s="4"/>
      <c r="D136" s="4"/>
      <c r="E136" s="260"/>
      <c r="F136" s="4"/>
      <c r="G136" s="4"/>
      <c r="H136" s="4"/>
      <c r="I136" s="4"/>
      <c r="J136" s="4"/>
      <c r="K136" s="4"/>
      <c r="L136" s="4"/>
      <c r="M136" s="4"/>
    </row>
    <row r="137" ht="15.75" customHeight="1">
      <c r="A137" s="135"/>
      <c r="B137" s="4"/>
      <c r="C137" s="4"/>
      <c r="D137" s="4"/>
      <c r="E137" s="260"/>
      <c r="F137" s="4"/>
      <c r="G137" s="4"/>
      <c r="H137" s="4"/>
      <c r="I137" s="4"/>
      <c r="J137" s="4"/>
      <c r="K137" s="4"/>
      <c r="L137" s="4"/>
      <c r="M137" s="4"/>
    </row>
    <row r="138" ht="15.75" customHeight="1">
      <c r="A138" s="135"/>
      <c r="B138" s="4"/>
      <c r="C138" s="4"/>
      <c r="D138" s="4"/>
      <c r="E138" s="260"/>
      <c r="F138" s="4"/>
      <c r="G138" s="4"/>
      <c r="H138" s="4"/>
      <c r="I138" s="4"/>
      <c r="J138" s="4"/>
      <c r="K138" s="4"/>
      <c r="L138" s="4"/>
      <c r="M138" s="4"/>
    </row>
    <row r="139" ht="15.75" customHeight="1">
      <c r="A139" s="135"/>
      <c r="B139" s="4"/>
      <c r="C139" s="4"/>
      <c r="D139" s="4"/>
      <c r="E139" s="260"/>
      <c r="F139" s="4"/>
      <c r="G139" s="4"/>
      <c r="H139" s="4"/>
      <c r="I139" s="4"/>
      <c r="J139" s="4"/>
      <c r="K139" s="4"/>
      <c r="L139" s="4"/>
      <c r="M139" s="4"/>
    </row>
    <row r="140" ht="15.75" customHeight="1">
      <c r="A140" s="135"/>
      <c r="B140" s="4"/>
      <c r="C140" s="4"/>
      <c r="D140" s="4"/>
      <c r="E140" s="260"/>
      <c r="F140" s="4"/>
      <c r="G140" s="4"/>
      <c r="H140" s="4"/>
      <c r="I140" s="4"/>
      <c r="J140" s="4"/>
      <c r="K140" s="4"/>
      <c r="L140" s="4"/>
      <c r="M140" s="4"/>
    </row>
    <row r="141" ht="15.75" customHeight="1">
      <c r="A141" s="135"/>
      <c r="B141" s="4"/>
      <c r="C141" s="4"/>
      <c r="D141" s="4"/>
      <c r="E141" s="260"/>
      <c r="F141" s="4"/>
      <c r="G141" s="4"/>
      <c r="H141" s="4"/>
      <c r="I141" s="4"/>
      <c r="J141" s="4"/>
      <c r="K141" s="4"/>
      <c r="L141" s="4"/>
      <c r="M141" s="4"/>
    </row>
    <row r="142" ht="15.75" customHeight="1">
      <c r="A142" s="135"/>
      <c r="B142" s="4"/>
      <c r="C142" s="4"/>
      <c r="D142" s="4"/>
      <c r="E142" s="260"/>
      <c r="F142" s="4"/>
      <c r="G142" s="4"/>
      <c r="H142" s="4"/>
      <c r="I142" s="4"/>
      <c r="J142" s="4"/>
      <c r="K142" s="4"/>
      <c r="L142" s="4"/>
      <c r="M142" s="4"/>
    </row>
    <row r="143" ht="15.75" customHeight="1">
      <c r="A143" s="135"/>
      <c r="B143" s="4"/>
      <c r="C143" s="4"/>
      <c r="D143" s="4"/>
      <c r="E143" s="260"/>
      <c r="F143" s="4"/>
      <c r="G143" s="4"/>
      <c r="H143" s="4"/>
      <c r="I143" s="4"/>
      <c r="J143" s="4"/>
      <c r="K143" s="4"/>
      <c r="L143" s="4"/>
      <c r="M143" s="4"/>
    </row>
    <row r="144" ht="15.75" customHeight="1">
      <c r="A144" s="135"/>
      <c r="B144" s="4"/>
      <c r="C144" s="4"/>
      <c r="D144" s="4"/>
      <c r="E144" s="260"/>
      <c r="F144" s="4"/>
      <c r="G144" s="4"/>
      <c r="H144" s="4"/>
      <c r="I144" s="4"/>
      <c r="J144" s="4"/>
      <c r="K144" s="4"/>
      <c r="L144" s="4"/>
      <c r="M144" s="4"/>
    </row>
    <row r="145" ht="15.75" customHeight="1">
      <c r="A145" s="135"/>
      <c r="B145" s="4"/>
      <c r="C145" s="4"/>
      <c r="D145" s="4"/>
      <c r="E145" s="260"/>
      <c r="F145" s="4"/>
      <c r="G145" s="4"/>
      <c r="H145" s="4"/>
      <c r="I145" s="4"/>
      <c r="J145" s="4"/>
      <c r="K145" s="4"/>
      <c r="L145" s="4"/>
      <c r="M145" s="4"/>
    </row>
    <row r="146" ht="15.75" customHeight="1">
      <c r="A146" s="135"/>
      <c r="B146" s="4"/>
      <c r="C146" s="4"/>
      <c r="D146" s="4"/>
      <c r="E146" s="260"/>
      <c r="F146" s="4"/>
      <c r="G146" s="4"/>
      <c r="H146" s="4"/>
      <c r="I146" s="4"/>
      <c r="J146" s="4"/>
      <c r="K146" s="4"/>
      <c r="L146" s="4"/>
      <c r="M146" s="4"/>
    </row>
    <row r="147" ht="15.75" customHeight="1">
      <c r="A147" s="135"/>
      <c r="B147" s="4"/>
      <c r="C147" s="4"/>
      <c r="D147" s="4"/>
      <c r="E147" s="260"/>
      <c r="F147" s="4"/>
      <c r="G147" s="4"/>
      <c r="H147" s="4"/>
      <c r="I147" s="4"/>
      <c r="J147" s="4"/>
      <c r="K147" s="4"/>
      <c r="L147" s="4"/>
      <c r="M147" s="4"/>
    </row>
    <row r="148" ht="15.75" customHeight="1">
      <c r="A148" s="135"/>
      <c r="B148" s="4"/>
      <c r="C148" s="4"/>
      <c r="D148" s="4"/>
      <c r="E148" s="260"/>
      <c r="F148" s="4"/>
      <c r="G148" s="4"/>
      <c r="H148" s="4"/>
      <c r="I148" s="4"/>
      <c r="J148" s="4"/>
      <c r="K148" s="4"/>
      <c r="L148" s="4"/>
      <c r="M148" s="4"/>
    </row>
    <row r="149" ht="15.75" customHeight="1">
      <c r="A149" s="135"/>
      <c r="B149" s="4"/>
      <c r="C149" s="4"/>
      <c r="D149" s="4"/>
      <c r="E149" s="260"/>
      <c r="F149" s="4"/>
      <c r="G149" s="4"/>
      <c r="H149" s="4"/>
      <c r="I149" s="4"/>
      <c r="J149" s="4"/>
      <c r="K149" s="4"/>
      <c r="L149" s="4"/>
      <c r="M149" s="4"/>
    </row>
    <row r="150" ht="15.75" customHeight="1">
      <c r="A150" s="135"/>
      <c r="B150" s="4"/>
      <c r="C150" s="4"/>
      <c r="D150" s="4"/>
      <c r="E150" s="260"/>
      <c r="F150" s="4"/>
      <c r="G150" s="4"/>
      <c r="H150" s="4"/>
      <c r="I150" s="4"/>
      <c r="J150" s="4"/>
      <c r="K150" s="4"/>
      <c r="L150" s="4"/>
      <c r="M150" s="4"/>
    </row>
    <row r="151" ht="15.75" customHeight="1">
      <c r="A151" s="135"/>
      <c r="B151" s="4"/>
      <c r="C151" s="4"/>
      <c r="D151" s="4"/>
      <c r="E151" s="260"/>
      <c r="F151" s="4"/>
      <c r="G151" s="4"/>
      <c r="H151" s="4"/>
      <c r="I151" s="4"/>
      <c r="J151" s="4"/>
      <c r="K151" s="4"/>
      <c r="L151" s="4"/>
      <c r="M151" s="4"/>
    </row>
    <row r="152" ht="15.75" customHeight="1">
      <c r="A152" s="135"/>
      <c r="B152" s="4"/>
      <c r="C152" s="4"/>
      <c r="D152" s="4"/>
      <c r="E152" s="260"/>
      <c r="F152" s="4"/>
      <c r="G152" s="4"/>
      <c r="H152" s="4"/>
      <c r="I152" s="4"/>
      <c r="J152" s="4"/>
      <c r="K152" s="4"/>
      <c r="L152" s="4"/>
      <c r="M152" s="4"/>
    </row>
    <row r="153" ht="15.75" customHeight="1">
      <c r="A153" s="135"/>
      <c r="B153" s="4"/>
      <c r="C153" s="4"/>
      <c r="D153" s="4"/>
      <c r="E153" s="260"/>
      <c r="F153" s="4"/>
      <c r="G153" s="4"/>
      <c r="H153" s="4"/>
      <c r="I153" s="4"/>
      <c r="J153" s="4"/>
      <c r="K153" s="4"/>
      <c r="L153" s="4"/>
      <c r="M153" s="4"/>
    </row>
    <row r="154" ht="15.75" customHeight="1">
      <c r="A154" s="135"/>
      <c r="B154" s="4"/>
      <c r="C154" s="4"/>
      <c r="D154" s="4"/>
      <c r="E154" s="260"/>
      <c r="F154" s="4"/>
      <c r="G154" s="4"/>
      <c r="H154" s="4"/>
      <c r="I154" s="4"/>
      <c r="J154" s="4"/>
      <c r="K154" s="4"/>
      <c r="L154" s="4"/>
      <c r="M154" s="4"/>
    </row>
    <row r="155" ht="15.75" customHeight="1">
      <c r="A155" s="135"/>
      <c r="B155" s="4"/>
      <c r="C155" s="4"/>
      <c r="D155" s="4"/>
      <c r="E155" s="260"/>
      <c r="F155" s="4"/>
      <c r="G155" s="4"/>
      <c r="H155" s="4"/>
      <c r="I155" s="4"/>
      <c r="J155" s="4"/>
      <c r="K155" s="4"/>
      <c r="L155" s="4"/>
      <c r="M155" s="4"/>
    </row>
    <row r="156" ht="15.75" customHeight="1">
      <c r="A156" s="135"/>
      <c r="B156" s="4"/>
      <c r="C156" s="4"/>
      <c r="D156" s="4"/>
      <c r="E156" s="260"/>
      <c r="F156" s="4"/>
      <c r="G156" s="4"/>
      <c r="H156" s="4"/>
      <c r="I156" s="4"/>
      <c r="J156" s="4"/>
      <c r="K156" s="4"/>
      <c r="L156" s="4"/>
      <c r="M156" s="4"/>
    </row>
    <row r="157" ht="15.75" customHeight="1">
      <c r="A157" s="135"/>
      <c r="B157" s="4"/>
      <c r="C157" s="4"/>
      <c r="D157" s="4"/>
      <c r="E157" s="260"/>
      <c r="F157" s="4"/>
      <c r="G157" s="4"/>
      <c r="H157" s="4"/>
      <c r="I157" s="4"/>
      <c r="J157" s="4"/>
      <c r="K157" s="4"/>
      <c r="L157" s="4"/>
      <c r="M157" s="4"/>
    </row>
    <row r="158" ht="15.75" customHeight="1">
      <c r="A158" s="135"/>
      <c r="B158" s="4"/>
      <c r="C158" s="4"/>
      <c r="D158" s="4"/>
      <c r="E158" s="260"/>
      <c r="F158" s="4"/>
      <c r="G158" s="4"/>
      <c r="H158" s="4"/>
      <c r="I158" s="4"/>
      <c r="J158" s="4"/>
      <c r="K158" s="4"/>
      <c r="L158" s="4"/>
      <c r="M158" s="4"/>
    </row>
    <row r="159" ht="15.75" customHeight="1">
      <c r="A159" s="135"/>
      <c r="B159" s="4"/>
      <c r="C159" s="4"/>
      <c r="D159" s="4"/>
      <c r="E159" s="260"/>
      <c r="F159" s="4"/>
      <c r="G159" s="4"/>
      <c r="H159" s="4"/>
      <c r="I159" s="4"/>
      <c r="J159" s="4"/>
      <c r="K159" s="4"/>
      <c r="L159" s="4"/>
      <c r="M159" s="4"/>
    </row>
    <row r="160" ht="15.75" customHeight="1">
      <c r="A160" s="135"/>
      <c r="B160" s="4"/>
      <c r="C160" s="4"/>
      <c r="D160" s="4"/>
      <c r="E160" s="260"/>
      <c r="F160" s="4"/>
      <c r="G160" s="4"/>
      <c r="H160" s="4"/>
      <c r="I160" s="4"/>
      <c r="J160" s="4"/>
      <c r="K160" s="4"/>
      <c r="L160" s="4"/>
      <c r="M160" s="4"/>
    </row>
    <row r="161" ht="15.75" customHeight="1">
      <c r="A161" s="135"/>
      <c r="B161" s="4"/>
      <c r="C161" s="4"/>
      <c r="D161" s="4"/>
      <c r="E161" s="260"/>
      <c r="F161" s="4"/>
      <c r="G161" s="4"/>
      <c r="H161" s="4"/>
      <c r="I161" s="4"/>
      <c r="J161" s="4"/>
      <c r="K161" s="4"/>
      <c r="L161" s="4"/>
      <c r="M161" s="4"/>
    </row>
    <row r="162" ht="15.75" customHeight="1">
      <c r="A162" s="135"/>
      <c r="B162" s="4"/>
      <c r="C162" s="4"/>
      <c r="D162" s="4"/>
      <c r="E162" s="260"/>
      <c r="F162" s="4"/>
      <c r="G162" s="4"/>
      <c r="H162" s="4"/>
      <c r="I162" s="4"/>
      <c r="J162" s="4"/>
      <c r="K162" s="4"/>
      <c r="L162" s="4"/>
      <c r="M162" s="4"/>
    </row>
    <row r="163" ht="15.75" customHeight="1">
      <c r="A163" s="135"/>
      <c r="B163" s="4"/>
      <c r="C163" s="4"/>
      <c r="D163" s="4"/>
      <c r="E163" s="260"/>
      <c r="F163" s="4"/>
      <c r="G163" s="4"/>
      <c r="H163" s="4"/>
      <c r="I163" s="4"/>
      <c r="J163" s="4"/>
      <c r="K163" s="4"/>
      <c r="L163" s="4"/>
      <c r="M163" s="4"/>
    </row>
    <row r="164" ht="15.75" customHeight="1">
      <c r="A164" s="135"/>
      <c r="B164" s="4"/>
      <c r="C164" s="4"/>
      <c r="D164" s="4"/>
      <c r="E164" s="260"/>
      <c r="F164" s="4"/>
      <c r="G164" s="4"/>
      <c r="H164" s="4"/>
      <c r="I164" s="4"/>
      <c r="J164" s="4"/>
      <c r="K164" s="4"/>
      <c r="L164" s="4"/>
      <c r="M164" s="4"/>
    </row>
    <row r="165" ht="15.75" customHeight="1">
      <c r="A165" s="135"/>
      <c r="B165" s="4"/>
      <c r="C165" s="4"/>
      <c r="D165" s="4"/>
      <c r="E165" s="260"/>
      <c r="F165" s="4"/>
      <c r="G165" s="4"/>
      <c r="H165" s="4"/>
      <c r="I165" s="4"/>
      <c r="J165" s="4"/>
      <c r="K165" s="4"/>
      <c r="L165" s="4"/>
      <c r="M165" s="4"/>
    </row>
    <row r="166" ht="15.75" customHeight="1">
      <c r="A166" s="135"/>
      <c r="B166" s="4"/>
      <c r="C166" s="4"/>
      <c r="D166" s="4"/>
      <c r="E166" s="260"/>
      <c r="F166" s="4"/>
      <c r="G166" s="4"/>
      <c r="H166" s="4"/>
      <c r="I166" s="4"/>
      <c r="J166" s="4"/>
      <c r="K166" s="4"/>
      <c r="L166" s="4"/>
      <c r="M166" s="4"/>
    </row>
    <row r="167" ht="15.75" customHeight="1">
      <c r="A167" s="135"/>
      <c r="B167" s="4"/>
      <c r="C167" s="4"/>
      <c r="D167" s="4"/>
      <c r="E167" s="260"/>
      <c r="F167" s="4"/>
      <c r="G167" s="4"/>
      <c r="H167" s="4"/>
      <c r="I167" s="4"/>
      <c r="J167" s="4"/>
      <c r="K167" s="4"/>
      <c r="L167" s="4"/>
      <c r="M167" s="4"/>
    </row>
    <row r="168" ht="15.75" customHeight="1">
      <c r="A168" s="135"/>
      <c r="B168" s="4"/>
      <c r="C168" s="4"/>
      <c r="D168" s="4"/>
      <c r="E168" s="260"/>
      <c r="F168" s="4"/>
      <c r="G168" s="4"/>
      <c r="H168" s="4"/>
      <c r="I168" s="4"/>
      <c r="J168" s="4"/>
      <c r="K168" s="4"/>
      <c r="L168" s="4"/>
      <c r="M168" s="4"/>
    </row>
    <row r="169" ht="15.75" customHeight="1">
      <c r="A169" s="135"/>
      <c r="B169" s="4"/>
      <c r="C169" s="4"/>
      <c r="D169" s="4"/>
      <c r="E169" s="260"/>
      <c r="F169" s="4"/>
      <c r="G169" s="4"/>
      <c r="H169" s="4"/>
      <c r="I169" s="4"/>
      <c r="J169" s="4"/>
      <c r="K169" s="4"/>
      <c r="L169" s="4"/>
      <c r="M169" s="4"/>
    </row>
    <row r="170" ht="15.75" customHeight="1">
      <c r="A170" s="135"/>
      <c r="B170" s="4"/>
      <c r="C170" s="4"/>
      <c r="D170" s="4"/>
      <c r="E170" s="260"/>
      <c r="F170" s="4"/>
      <c r="G170" s="4"/>
      <c r="H170" s="4"/>
      <c r="I170" s="4"/>
      <c r="J170" s="4"/>
      <c r="K170" s="4"/>
      <c r="L170" s="4"/>
      <c r="M170" s="4"/>
    </row>
    <row r="171" ht="15.75" customHeight="1">
      <c r="A171" s="135"/>
      <c r="B171" s="4"/>
      <c r="C171" s="4"/>
      <c r="D171" s="4"/>
      <c r="E171" s="260"/>
      <c r="F171" s="4"/>
      <c r="G171" s="4"/>
      <c r="H171" s="4"/>
      <c r="I171" s="4"/>
      <c r="J171" s="4"/>
      <c r="K171" s="4"/>
      <c r="L171" s="4"/>
      <c r="M171" s="4"/>
    </row>
    <row r="172" ht="15.75" customHeight="1">
      <c r="A172" s="135"/>
      <c r="B172" s="4"/>
      <c r="C172" s="4"/>
      <c r="D172" s="4"/>
      <c r="E172" s="260"/>
      <c r="F172" s="4"/>
      <c r="G172" s="4"/>
      <c r="H172" s="4"/>
      <c r="I172" s="4"/>
      <c r="J172" s="4"/>
      <c r="K172" s="4"/>
      <c r="L172" s="4"/>
      <c r="M172" s="4"/>
    </row>
    <row r="173" ht="15.75" customHeight="1">
      <c r="A173" s="135"/>
      <c r="B173" s="4"/>
      <c r="C173" s="4"/>
      <c r="D173" s="4"/>
      <c r="E173" s="260"/>
      <c r="F173" s="4"/>
      <c r="G173" s="4"/>
      <c r="H173" s="4"/>
      <c r="I173" s="4"/>
      <c r="J173" s="4"/>
      <c r="K173" s="4"/>
      <c r="L173" s="4"/>
      <c r="M173" s="4"/>
    </row>
    <row r="174" ht="15.75" customHeight="1">
      <c r="A174" s="135"/>
      <c r="B174" s="4"/>
      <c r="C174" s="4"/>
      <c r="D174" s="4"/>
      <c r="E174" s="260"/>
      <c r="F174" s="4"/>
      <c r="G174" s="4"/>
      <c r="H174" s="4"/>
      <c r="I174" s="4"/>
      <c r="J174" s="4"/>
      <c r="K174" s="4"/>
      <c r="L174" s="4"/>
      <c r="M174" s="4"/>
    </row>
    <row r="175" ht="15.75" customHeight="1">
      <c r="A175" s="135"/>
      <c r="B175" s="4"/>
      <c r="C175" s="4"/>
      <c r="D175" s="4"/>
      <c r="E175" s="260"/>
      <c r="F175" s="4"/>
      <c r="G175" s="4"/>
      <c r="H175" s="4"/>
      <c r="I175" s="4"/>
      <c r="J175" s="4"/>
      <c r="K175" s="4"/>
      <c r="L175" s="4"/>
      <c r="M175" s="4"/>
    </row>
    <row r="176" ht="15.75" customHeight="1">
      <c r="A176" s="135"/>
      <c r="B176" s="4"/>
      <c r="C176" s="4"/>
      <c r="D176" s="4"/>
      <c r="E176" s="260"/>
      <c r="F176" s="4"/>
      <c r="G176" s="4"/>
      <c r="H176" s="4"/>
      <c r="I176" s="4"/>
      <c r="J176" s="4"/>
      <c r="K176" s="4"/>
      <c r="L176" s="4"/>
      <c r="M176" s="4"/>
    </row>
    <row r="177" ht="15.75" customHeight="1">
      <c r="A177" s="135"/>
      <c r="B177" s="4"/>
      <c r="C177" s="4"/>
      <c r="D177" s="4"/>
      <c r="E177" s="260"/>
      <c r="F177" s="4"/>
      <c r="G177" s="4"/>
      <c r="H177" s="4"/>
      <c r="I177" s="4"/>
      <c r="J177" s="4"/>
      <c r="K177" s="4"/>
      <c r="L177" s="4"/>
      <c r="M177" s="4"/>
    </row>
    <row r="178" ht="15.75" customHeight="1">
      <c r="A178" s="135"/>
      <c r="B178" s="4"/>
      <c r="C178" s="4"/>
      <c r="D178" s="4"/>
      <c r="E178" s="260"/>
      <c r="F178" s="4"/>
      <c r="G178" s="4"/>
      <c r="H178" s="4"/>
      <c r="I178" s="4"/>
      <c r="J178" s="4"/>
      <c r="K178" s="4"/>
      <c r="L178" s="4"/>
      <c r="M178" s="4"/>
    </row>
    <row r="179" ht="15.75" customHeight="1">
      <c r="A179" s="135"/>
      <c r="B179" s="4"/>
      <c r="C179" s="4"/>
      <c r="D179" s="4"/>
      <c r="E179" s="260"/>
      <c r="F179" s="4"/>
      <c r="G179" s="4"/>
      <c r="H179" s="4"/>
      <c r="I179" s="4"/>
      <c r="J179" s="4"/>
      <c r="K179" s="4"/>
      <c r="L179" s="4"/>
      <c r="M179" s="4"/>
    </row>
    <row r="180" ht="15.75" customHeight="1">
      <c r="A180" s="135"/>
      <c r="B180" s="4"/>
      <c r="C180" s="4"/>
      <c r="D180" s="4"/>
      <c r="E180" s="260"/>
      <c r="F180" s="4"/>
      <c r="G180" s="4"/>
      <c r="H180" s="4"/>
      <c r="I180" s="4"/>
      <c r="J180" s="4"/>
      <c r="K180" s="4"/>
      <c r="L180" s="4"/>
      <c r="M180" s="4"/>
    </row>
    <row r="181" ht="15.75" customHeight="1">
      <c r="A181" s="135"/>
      <c r="B181" s="4"/>
      <c r="C181" s="4"/>
      <c r="D181" s="4"/>
      <c r="E181" s="260"/>
      <c r="F181" s="4"/>
      <c r="G181" s="4"/>
      <c r="H181" s="4"/>
      <c r="I181" s="4"/>
      <c r="J181" s="4"/>
      <c r="K181" s="4"/>
      <c r="L181" s="4"/>
      <c r="M181" s="4"/>
    </row>
    <row r="182" ht="15.75" customHeight="1">
      <c r="A182" s="135"/>
      <c r="B182" s="4"/>
      <c r="C182" s="4"/>
      <c r="D182" s="4"/>
      <c r="E182" s="260"/>
      <c r="F182" s="4"/>
      <c r="G182" s="4"/>
      <c r="H182" s="4"/>
      <c r="I182" s="4"/>
      <c r="J182" s="4"/>
      <c r="K182" s="4"/>
      <c r="L182" s="4"/>
      <c r="M182" s="4"/>
    </row>
    <row r="183" ht="15.75" customHeight="1">
      <c r="A183" s="135"/>
      <c r="B183" s="4"/>
      <c r="C183" s="4"/>
      <c r="D183" s="4"/>
      <c r="E183" s="260"/>
      <c r="F183" s="4"/>
      <c r="G183" s="4"/>
      <c r="H183" s="4"/>
      <c r="I183" s="4"/>
      <c r="J183" s="4"/>
      <c r="K183" s="4"/>
      <c r="L183" s="4"/>
      <c r="M183" s="4"/>
    </row>
    <row r="184" ht="15.75" customHeight="1">
      <c r="A184" s="135"/>
      <c r="B184" s="4"/>
      <c r="C184" s="4"/>
      <c r="D184" s="4"/>
      <c r="E184" s="260"/>
      <c r="F184" s="4"/>
      <c r="G184" s="4"/>
      <c r="H184" s="4"/>
      <c r="I184" s="4"/>
      <c r="J184" s="4"/>
      <c r="K184" s="4"/>
      <c r="L184" s="4"/>
      <c r="M184" s="4"/>
    </row>
    <row r="185" ht="15.75" customHeight="1">
      <c r="A185" s="135"/>
      <c r="B185" s="4"/>
      <c r="C185" s="4"/>
      <c r="D185" s="4"/>
      <c r="E185" s="260"/>
      <c r="F185" s="4"/>
      <c r="G185" s="4"/>
      <c r="H185" s="4"/>
      <c r="I185" s="4"/>
      <c r="J185" s="4"/>
      <c r="K185" s="4"/>
      <c r="L185" s="4"/>
      <c r="M185" s="4"/>
    </row>
    <row r="186" ht="15.75" customHeight="1">
      <c r="A186" s="135"/>
      <c r="B186" s="4"/>
      <c r="C186" s="4"/>
      <c r="D186" s="4"/>
      <c r="E186" s="260"/>
      <c r="F186" s="4"/>
      <c r="G186" s="4"/>
      <c r="H186" s="4"/>
      <c r="I186" s="4"/>
      <c r="J186" s="4"/>
      <c r="K186" s="4"/>
      <c r="L186" s="4"/>
      <c r="M186" s="4"/>
    </row>
    <row r="187" ht="15.75" customHeight="1">
      <c r="A187" s="135"/>
      <c r="B187" s="4"/>
      <c r="C187" s="4"/>
      <c r="D187" s="4"/>
      <c r="E187" s="260"/>
      <c r="F187" s="4"/>
      <c r="G187" s="4"/>
      <c r="H187" s="4"/>
      <c r="I187" s="4"/>
      <c r="J187" s="4"/>
      <c r="K187" s="4"/>
      <c r="L187" s="4"/>
      <c r="M187" s="4"/>
    </row>
    <row r="188" ht="15.75" customHeight="1">
      <c r="A188" s="135"/>
      <c r="B188" s="4"/>
      <c r="C188" s="4"/>
      <c r="D188" s="4"/>
      <c r="E188" s="260"/>
      <c r="F188" s="4"/>
      <c r="G188" s="4"/>
      <c r="H188" s="4"/>
      <c r="I188" s="4"/>
      <c r="J188" s="4"/>
      <c r="K188" s="4"/>
      <c r="L188" s="4"/>
      <c r="M188" s="4"/>
    </row>
    <row r="189" ht="15.75" customHeight="1">
      <c r="A189" s="135"/>
      <c r="B189" s="4"/>
      <c r="C189" s="4"/>
      <c r="D189" s="4"/>
      <c r="E189" s="260"/>
      <c r="F189" s="4"/>
      <c r="G189" s="4"/>
      <c r="H189" s="4"/>
      <c r="I189" s="4"/>
      <c r="J189" s="4"/>
      <c r="K189" s="4"/>
      <c r="L189" s="4"/>
      <c r="M189" s="4"/>
    </row>
    <row r="190" ht="15.75" customHeight="1">
      <c r="A190" s="135"/>
      <c r="B190" s="4"/>
      <c r="C190" s="4"/>
      <c r="D190" s="4"/>
      <c r="E190" s="260"/>
      <c r="F190" s="4"/>
      <c r="G190" s="4"/>
      <c r="H190" s="4"/>
      <c r="I190" s="4"/>
      <c r="J190" s="4"/>
      <c r="K190" s="4"/>
      <c r="L190" s="4"/>
      <c r="M190" s="4"/>
    </row>
    <row r="191" ht="15.75" customHeight="1">
      <c r="A191" s="135"/>
      <c r="B191" s="4"/>
      <c r="C191" s="4"/>
      <c r="D191" s="4"/>
      <c r="E191" s="260"/>
      <c r="F191" s="4"/>
      <c r="G191" s="4"/>
      <c r="H191" s="4"/>
      <c r="I191" s="4"/>
      <c r="J191" s="4"/>
      <c r="K191" s="4"/>
      <c r="L191" s="4"/>
      <c r="M191" s="4"/>
    </row>
    <row r="192" ht="15.75" customHeight="1">
      <c r="A192" s="135"/>
      <c r="B192" s="4"/>
      <c r="C192" s="4"/>
      <c r="D192" s="4"/>
      <c r="E192" s="260"/>
      <c r="F192" s="4"/>
      <c r="G192" s="4"/>
      <c r="H192" s="4"/>
      <c r="I192" s="4"/>
      <c r="J192" s="4"/>
      <c r="K192" s="4"/>
      <c r="L192" s="4"/>
      <c r="M192" s="4"/>
    </row>
    <row r="193" ht="15.75" customHeight="1">
      <c r="A193" s="135"/>
      <c r="B193" s="4"/>
      <c r="C193" s="4"/>
      <c r="D193" s="4"/>
      <c r="E193" s="260"/>
      <c r="F193" s="4"/>
      <c r="G193" s="4"/>
      <c r="H193" s="4"/>
      <c r="I193" s="4"/>
      <c r="J193" s="4"/>
      <c r="K193" s="4"/>
      <c r="L193" s="4"/>
      <c r="M193" s="4"/>
    </row>
    <row r="194" ht="15.75" customHeight="1">
      <c r="A194" s="135"/>
      <c r="B194" s="4"/>
      <c r="C194" s="4"/>
      <c r="D194" s="4"/>
      <c r="E194" s="260"/>
      <c r="F194" s="4"/>
      <c r="G194" s="4"/>
      <c r="H194" s="4"/>
      <c r="I194" s="4"/>
      <c r="J194" s="4"/>
      <c r="K194" s="4"/>
      <c r="L194" s="4"/>
      <c r="M194" s="4"/>
    </row>
    <row r="195" ht="15.75" customHeight="1">
      <c r="A195" s="135"/>
      <c r="B195" s="4"/>
      <c r="C195" s="4"/>
      <c r="D195" s="4"/>
      <c r="E195" s="260"/>
      <c r="F195" s="4"/>
      <c r="G195" s="4"/>
      <c r="H195" s="4"/>
      <c r="I195" s="4"/>
      <c r="J195" s="4"/>
      <c r="K195" s="4"/>
      <c r="L195" s="4"/>
      <c r="M195" s="4"/>
    </row>
    <row r="196" ht="15.75" customHeight="1">
      <c r="A196" s="135"/>
      <c r="B196" s="4"/>
      <c r="C196" s="4"/>
      <c r="D196" s="4"/>
      <c r="E196" s="260"/>
      <c r="F196" s="4"/>
      <c r="G196" s="4"/>
      <c r="H196" s="4"/>
      <c r="I196" s="4"/>
      <c r="J196" s="4"/>
      <c r="K196" s="4"/>
      <c r="L196" s="4"/>
      <c r="M196" s="4"/>
    </row>
    <row r="197" ht="15.75" customHeight="1">
      <c r="A197" s="135"/>
      <c r="B197" s="4"/>
      <c r="C197" s="4"/>
      <c r="D197" s="4"/>
      <c r="E197" s="260"/>
      <c r="F197" s="4"/>
      <c r="G197" s="4"/>
      <c r="H197" s="4"/>
      <c r="I197" s="4"/>
      <c r="J197" s="4"/>
      <c r="K197" s="4"/>
      <c r="L197" s="4"/>
      <c r="M197" s="4"/>
    </row>
    <row r="198" ht="15.75" customHeight="1">
      <c r="A198" s="135"/>
      <c r="B198" s="4"/>
      <c r="C198" s="4"/>
      <c r="D198" s="4"/>
      <c r="E198" s="260"/>
      <c r="F198" s="4"/>
      <c r="G198" s="4"/>
      <c r="H198" s="4"/>
      <c r="I198" s="4"/>
      <c r="J198" s="4"/>
      <c r="K198" s="4"/>
      <c r="L198" s="4"/>
      <c r="M198" s="4"/>
    </row>
    <row r="199" ht="15.75" customHeight="1">
      <c r="A199" s="135"/>
      <c r="B199" s="4"/>
      <c r="C199" s="4"/>
      <c r="D199" s="4"/>
      <c r="E199" s="260"/>
      <c r="F199" s="4"/>
      <c r="G199" s="4"/>
      <c r="H199" s="4"/>
      <c r="I199" s="4"/>
      <c r="J199" s="4"/>
      <c r="K199" s="4"/>
      <c r="L199" s="4"/>
      <c r="M199" s="4"/>
    </row>
    <row r="200" ht="15.75" customHeight="1">
      <c r="A200" s="135"/>
      <c r="B200" s="4"/>
      <c r="C200" s="4"/>
      <c r="D200" s="4"/>
      <c r="E200" s="260"/>
      <c r="F200" s="4"/>
      <c r="G200" s="4"/>
      <c r="H200" s="4"/>
      <c r="I200" s="4"/>
      <c r="J200" s="4"/>
      <c r="K200" s="4"/>
      <c r="L200" s="4"/>
      <c r="M200" s="4"/>
    </row>
    <row r="201" ht="15.75" customHeight="1">
      <c r="A201" s="135"/>
      <c r="B201" s="4"/>
      <c r="C201" s="4"/>
      <c r="D201" s="4"/>
      <c r="E201" s="260"/>
      <c r="F201" s="4"/>
      <c r="G201" s="4"/>
      <c r="H201" s="4"/>
      <c r="I201" s="4"/>
      <c r="J201" s="4"/>
      <c r="K201" s="4"/>
      <c r="L201" s="4"/>
      <c r="M201" s="4"/>
    </row>
    <row r="202" ht="15.75" customHeight="1">
      <c r="A202" s="135"/>
      <c r="B202" s="4"/>
      <c r="C202" s="4"/>
      <c r="D202" s="4"/>
      <c r="E202" s="260"/>
      <c r="F202" s="4"/>
      <c r="G202" s="4"/>
      <c r="H202" s="4"/>
      <c r="I202" s="4"/>
      <c r="J202" s="4"/>
      <c r="K202" s="4"/>
      <c r="L202" s="4"/>
      <c r="M202" s="4"/>
    </row>
    <row r="203" ht="15.75" customHeight="1">
      <c r="A203" s="135"/>
      <c r="B203" s="4"/>
      <c r="C203" s="4"/>
      <c r="D203" s="4"/>
      <c r="E203" s="260"/>
      <c r="F203" s="4"/>
      <c r="G203" s="4"/>
      <c r="H203" s="4"/>
      <c r="I203" s="4"/>
      <c r="J203" s="4"/>
      <c r="K203" s="4"/>
      <c r="L203" s="4"/>
      <c r="M203" s="4"/>
    </row>
    <row r="204" ht="15.75" customHeight="1">
      <c r="A204" s="135"/>
      <c r="B204" s="4"/>
      <c r="C204" s="4"/>
      <c r="D204" s="4"/>
      <c r="E204" s="260"/>
      <c r="F204" s="4"/>
      <c r="G204" s="4"/>
      <c r="H204" s="4"/>
      <c r="I204" s="4"/>
      <c r="J204" s="4"/>
      <c r="K204" s="4"/>
      <c r="L204" s="4"/>
      <c r="M204" s="4"/>
    </row>
    <row r="205" ht="15.75" customHeight="1">
      <c r="A205" s="135"/>
      <c r="B205" s="4"/>
      <c r="C205" s="4"/>
      <c r="D205" s="4"/>
      <c r="E205" s="260"/>
      <c r="F205" s="4"/>
      <c r="G205" s="4"/>
      <c r="H205" s="4"/>
      <c r="I205" s="4"/>
      <c r="J205" s="4"/>
      <c r="K205" s="4"/>
      <c r="L205" s="4"/>
      <c r="M205" s="4"/>
    </row>
    <row r="206" ht="15.75" customHeight="1">
      <c r="A206" s="135"/>
      <c r="B206" s="4"/>
      <c r="C206" s="4"/>
      <c r="D206" s="4"/>
      <c r="E206" s="260"/>
      <c r="F206" s="4"/>
      <c r="G206" s="4"/>
      <c r="H206" s="4"/>
      <c r="I206" s="4"/>
      <c r="J206" s="4"/>
      <c r="K206" s="4"/>
      <c r="L206" s="4"/>
      <c r="M206" s="4"/>
    </row>
    <row r="207" ht="15.75" customHeight="1">
      <c r="A207" s="135"/>
      <c r="B207" s="4"/>
      <c r="C207" s="4"/>
      <c r="D207" s="4"/>
      <c r="E207" s="260"/>
      <c r="F207" s="4"/>
      <c r="G207" s="4"/>
      <c r="H207" s="4"/>
      <c r="I207" s="4"/>
      <c r="J207" s="4"/>
      <c r="K207" s="4"/>
      <c r="L207" s="4"/>
      <c r="M207" s="4"/>
    </row>
    <row r="208" ht="15.75" customHeight="1">
      <c r="A208" s="135"/>
      <c r="B208" s="4"/>
      <c r="C208" s="4"/>
      <c r="D208" s="4"/>
      <c r="E208" s="260"/>
      <c r="F208" s="4"/>
      <c r="G208" s="4"/>
      <c r="H208" s="4"/>
      <c r="I208" s="4"/>
      <c r="J208" s="4"/>
      <c r="K208" s="4"/>
      <c r="L208" s="4"/>
      <c r="M208" s="4"/>
    </row>
    <row r="209" ht="15.75" customHeight="1">
      <c r="A209" s="135"/>
      <c r="B209" s="4"/>
      <c r="C209" s="4"/>
      <c r="D209" s="4"/>
      <c r="E209" s="260"/>
      <c r="F209" s="4"/>
      <c r="G209" s="4"/>
      <c r="H209" s="4"/>
      <c r="I209" s="4"/>
      <c r="J209" s="4"/>
      <c r="K209" s="4"/>
      <c r="L209" s="4"/>
      <c r="M209" s="4"/>
    </row>
    <row r="210" ht="15.75" customHeight="1">
      <c r="A210" s="135"/>
      <c r="B210" s="4"/>
      <c r="C210" s="4"/>
      <c r="D210" s="4"/>
      <c r="E210" s="260"/>
      <c r="F210" s="4"/>
      <c r="G210" s="4"/>
      <c r="H210" s="4"/>
      <c r="I210" s="4"/>
      <c r="J210" s="4"/>
      <c r="K210" s="4"/>
      <c r="L210" s="4"/>
      <c r="M210" s="4"/>
    </row>
    <row r="211" ht="15.75" customHeight="1">
      <c r="A211" s="135"/>
      <c r="B211" s="4"/>
      <c r="C211" s="4"/>
      <c r="D211" s="4"/>
      <c r="E211" s="260"/>
      <c r="F211" s="4"/>
      <c r="G211" s="4"/>
      <c r="H211" s="4"/>
      <c r="I211" s="4"/>
      <c r="J211" s="4"/>
      <c r="K211" s="4"/>
      <c r="L211" s="4"/>
      <c r="M211" s="4"/>
    </row>
    <row r="212" ht="15.75" customHeight="1">
      <c r="A212" s="135"/>
      <c r="B212" s="4"/>
      <c r="C212" s="4"/>
      <c r="D212" s="4"/>
      <c r="E212" s="260"/>
      <c r="F212" s="4"/>
      <c r="G212" s="4"/>
      <c r="H212" s="4"/>
      <c r="I212" s="4"/>
      <c r="J212" s="4"/>
      <c r="K212" s="4"/>
      <c r="L212" s="4"/>
      <c r="M212" s="4"/>
    </row>
    <row r="213" ht="15.75" customHeight="1">
      <c r="A213" s="135"/>
      <c r="B213" s="4"/>
      <c r="C213" s="4"/>
      <c r="D213" s="4"/>
      <c r="E213" s="260"/>
      <c r="F213" s="4"/>
      <c r="G213" s="4"/>
      <c r="H213" s="4"/>
      <c r="I213" s="4"/>
      <c r="J213" s="4"/>
      <c r="K213" s="4"/>
      <c r="L213" s="4"/>
      <c r="M213" s="4"/>
    </row>
    <row r="214" ht="15.75" customHeight="1">
      <c r="A214" s="135"/>
      <c r="B214" s="4"/>
      <c r="C214" s="4"/>
      <c r="D214" s="4"/>
      <c r="E214" s="260"/>
      <c r="F214" s="4"/>
      <c r="G214" s="4"/>
      <c r="H214" s="4"/>
      <c r="I214" s="4"/>
      <c r="J214" s="4"/>
      <c r="K214" s="4"/>
      <c r="L214" s="4"/>
      <c r="M214" s="4"/>
    </row>
    <row r="215" ht="15.75" customHeight="1">
      <c r="A215" s="135"/>
      <c r="B215" s="4"/>
      <c r="C215" s="4"/>
      <c r="D215" s="4"/>
      <c r="E215" s="260"/>
      <c r="F215" s="4"/>
      <c r="G215" s="4"/>
      <c r="H215" s="4"/>
      <c r="I215" s="4"/>
      <c r="J215" s="4"/>
      <c r="K215" s="4"/>
      <c r="L215" s="4"/>
      <c r="M215" s="4"/>
    </row>
    <row r="216" ht="15.75" customHeight="1">
      <c r="A216" s="135"/>
      <c r="B216" s="4"/>
      <c r="C216" s="4"/>
      <c r="D216" s="4"/>
      <c r="E216" s="260"/>
      <c r="F216" s="4"/>
      <c r="G216" s="4"/>
      <c r="H216" s="4"/>
      <c r="I216" s="4"/>
      <c r="J216" s="4"/>
      <c r="K216" s="4"/>
      <c r="L216" s="4"/>
      <c r="M216" s="4"/>
    </row>
    <row r="217" ht="15.75" customHeight="1">
      <c r="A217" s="135"/>
      <c r="B217" s="4"/>
      <c r="C217" s="4"/>
      <c r="D217" s="4"/>
      <c r="E217" s="260"/>
      <c r="F217" s="4"/>
      <c r="G217" s="4"/>
      <c r="H217" s="4"/>
      <c r="I217" s="4"/>
      <c r="J217" s="4"/>
      <c r="K217" s="4"/>
      <c r="L217" s="4"/>
      <c r="M217" s="4"/>
    </row>
    <row r="218" ht="15.75" customHeight="1">
      <c r="A218" s="135"/>
      <c r="B218" s="4"/>
      <c r="C218" s="4"/>
      <c r="D218" s="4"/>
      <c r="E218" s="260"/>
      <c r="F218" s="4"/>
      <c r="G218" s="4"/>
      <c r="H218" s="4"/>
      <c r="I218" s="4"/>
      <c r="J218" s="4"/>
      <c r="K218" s="4"/>
      <c r="L218" s="4"/>
      <c r="M218" s="4"/>
    </row>
    <row r="219" ht="15.75" customHeight="1">
      <c r="A219" s="135"/>
      <c r="B219" s="4"/>
      <c r="C219" s="4"/>
      <c r="D219" s="4"/>
      <c r="E219" s="260"/>
      <c r="F219" s="4"/>
      <c r="G219" s="4"/>
      <c r="H219" s="4"/>
      <c r="I219" s="4"/>
      <c r="J219" s="4"/>
      <c r="K219" s="4"/>
      <c r="L219" s="4"/>
      <c r="M219" s="4"/>
    </row>
    <row r="220" ht="15.75" customHeight="1">
      <c r="A220" s="135"/>
      <c r="B220" s="4"/>
      <c r="C220" s="4"/>
      <c r="D220" s="4"/>
      <c r="E220" s="260"/>
      <c r="F220" s="4"/>
      <c r="G220" s="4"/>
      <c r="H220" s="4"/>
      <c r="I220" s="4"/>
      <c r="J220" s="4"/>
      <c r="K220" s="4"/>
      <c r="L220" s="4"/>
      <c r="M220" s="4"/>
    </row>
    <row r="221" ht="15.75" customHeight="1">
      <c r="A221" s="135"/>
      <c r="B221" s="4"/>
      <c r="C221" s="4"/>
      <c r="D221" s="4"/>
      <c r="E221" s="260"/>
      <c r="F221" s="4"/>
      <c r="G221" s="4"/>
      <c r="H221" s="4"/>
      <c r="I221" s="4"/>
      <c r="J221" s="4"/>
      <c r="K221" s="4"/>
      <c r="L221" s="4"/>
      <c r="M221" s="4"/>
    </row>
    <row r="222" ht="15.75" customHeight="1">
      <c r="A222" s="135"/>
      <c r="B222" s="4"/>
      <c r="C222" s="4"/>
      <c r="D222" s="4"/>
      <c r="E222" s="260"/>
      <c r="F222" s="4"/>
      <c r="G222" s="4"/>
      <c r="H222" s="4"/>
      <c r="I222" s="4"/>
      <c r="J222" s="4"/>
      <c r="K222" s="4"/>
      <c r="L222" s="4"/>
      <c r="M222" s="4"/>
    </row>
    <row r="223" ht="15.75" customHeight="1">
      <c r="A223" s="135"/>
      <c r="B223" s="4"/>
      <c r="C223" s="4"/>
      <c r="D223" s="4"/>
      <c r="E223" s="260"/>
      <c r="F223" s="4"/>
      <c r="G223" s="4"/>
      <c r="H223" s="4"/>
      <c r="I223" s="4"/>
      <c r="J223" s="4"/>
      <c r="K223" s="4"/>
      <c r="L223" s="4"/>
      <c r="M223" s="4"/>
    </row>
    <row r="224" ht="15.75" customHeight="1">
      <c r="A224" s="135"/>
      <c r="B224" s="4"/>
      <c r="C224" s="4"/>
      <c r="D224" s="4"/>
      <c r="E224" s="260"/>
      <c r="F224" s="4"/>
      <c r="G224" s="4"/>
      <c r="H224" s="4"/>
      <c r="I224" s="4"/>
      <c r="J224" s="4"/>
      <c r="K224" s="4"/>
      <c r="L224" s="4"/>
      <c r="M224" s="4"/>
    </row>
    <row r="225" ht="15.75" customHeight="1">
      <c r="A225" s="135"/>
      <c r="B225" s="4"/>
      <c r="C225" s="4"/>
      <c r="D225" s="4"/>
      <c r="E225" s="260"/>
      <c r="F225" s="4"/>
      <c r="G225" s="4"/>
      <c r="H225" s="4"/>
      <c r="I225" s="4"/>
      <c r="J225" s="4"/>
      <c r="K225" s="4"/>
      <c r="L225" s="4"/>
      <c r="M225" s="4"/>
    </row>
    <row r="226" ht="15.75" customHeight="1">
      <c r="A226" s="135"/>
      <c r="B226" s="4"/>
      <c r="C226" s="4"/>
      <c r="D226" s="4"/>
      <c r="E226" s="260"/>
      <c r="F226" s="4"/>
      <c r="G226" s="4"/>
      <c r="H226" s="4"/>
      <c r="I226" s="4"/>
      <c r="J226" s="4"/>
      <c r="K226" s="4"/>
      <c r="L226" s="4"/>
      <c r="M226" s="4"/>
    </row>
    <row r="227" ht="15.75" customHeight="1">
      <c r="A227" s="135"/>
      <c r="B227" s="4"/>
      <c r="C227" s="4"/>
      <c r="D227" s="4"/>
      <c r="E227" s="260"/>
      <c r="F227" s="4"/>
      <c r="G227" s="4"/>
      <c r="H227" s="4"/>
      <c r="I227" s="4"/>
      <c r="J227" s="4"/>
      <c r="K227" s="4"/>
      <c r="L227" s="4"/>
      <c r="M227" s="4"/>
    </row>
    <row r="228" ht="15.75" customHeight="1">
      <c r="A228" s="135"/>
      <c r="B228" s="4"/>
      <c r="C228" s="4"/>
      <c r="D228" s="4"/>
      <c r="E228" s="260"/>
      <c r="F228" s="4"/>
      <c r="G228" s="4"/>
      <c r="H228" s="4"/>
      <c r="I228" s="4"/>
      <c r="J228" s="4"/>
      <c r="K228" s="4"/>
      <c r="L228" s="4"/>
      <c r="M228" s="4"/>
    </row>
    <row r="229" ht="15.75" customHeight="1">
      <c r="A229" s="135"/>
      <c r="B229" s="4"/>
      <c r="C229" s="4"/>
      <c r="D229" s="4"/>
      <c r="E229" s="260"/>
      <c r="F229" s="4"/>
      <c r="G229" s="4"/>
      <c r="H229" s="4"/>
      <c r="I229" s="4"/>
      <c r="J229" s="4"/>
      <c r="K229" s="4"/>
      <c r="L229" s="4"/>
      <c r="M229" s="4"/>
    </row>
    <row r="230" ht="15.75" customHeight="1">
      <c r="A230" s="135"/>
      <c r="B230" s="4"/>
      <c r="C230" s="4"/>
      <c r="D230" s="4"/>
      <c r="E230" s="260"/>
      <c r="F230" s="4"/>
      <c r="G230" s="4"/>
      <c r="H230" s="4"/>
      <c r="I230" s="4"/>
      <c r="J230" s="4"/>
      <c r="K230" s="4"/>
      <c r="L230" s="4"/>
      <c r="M230" s="4"/>
    </row>
    <row r="231" ht="15.75" customHeight="1">
      <c r="A231" s="135"/>
      <c r="B231" s="4"/>
      <c r="C231" s="4"/>
      <c r="D231" s="4"/>
      <c r="E231" s="260"/>
      <c r="F231" s="4"/>
      <c r="G231" s="4"/>
      <c r="H231" s="4"/>
      <c r="I231" s="4"/>
      <c r="J231" s="4"/>
      <c r="K231" s="4"/>
      <c r="L231" s="4"/>
      <c r="M231" s="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5:C6"/>
    <mergeCell ref="D5:D6"/>
    <mergeCell ref="F5:F6"/>
    <mergeCell ref="H5:H6"/>
    <mergeCell ref="I5:I6"/>
    <mergeCell ref="L5:L6"/>
    <mergeCell ref="B2:M2"/>
    <mergeCell ref="A3:M3"/>
    <mergeCell ref="A4:A6"/>
    <mergeCell ref="B4:B6"/>
    <mergeCell ref="C4:E4"/>
    <mergeCell ref="F4:G4"/>
    <mergeCell ref="H4:M4"/>
    <mergeCell ref="M5:M6"/>
  </mergeCells>
  <conditionalFormatting sqref="J7:M9">
    <cfRule type="containsBlanks" dxfId="0" priority="1">
      <formula>LEN(TRIM(J7))=0</formula>
    </cfRule>
  </conditionalFormatting>
  <conditionalFormatting sqref="F7:I9">
    <cfRule type="containsBlanks" dxfId="0" priority="2">
      <formula>LEN(TRIM(F7))=0</formula>
    </cfRule>
  </conditionalFormatting>
  <conditionalFormatting sqref="B31">
    <cfRule type="cellIs" dxfId="1" priority="3" operator="equal">
      <formula>"NOT EQUAL TO MODELED AREA"</formula>
    </cfRule>
  </conditionalFormatting>
  <dataValidations>
    <dataValidation type="list" allowBlank="1" showErrorMessage="1" sqref="F7:F30">
      <formula1>Ltg_ctrl</formula1>
    </dataValidation>
    <dataValidation type="list" allowBlank="1" showErrorMessage="1" sqref="A7:A30">
      <formula1>Ltg_Space</formula1>
    </dataValidation>
    <dataValidation type="list" allowBlank="1" showErrorMessage="1" sqref="C7:D30 H7:I30">
      <formula1>Yes_No</formula1>
    </dataValidation>
  </dataValidations>
  <printOptions/>
  <pageMargins bottom="0.75" footer="0.0" header="0.0" left="0.7" right="0.7" top="0.75"/>
  <pageSetup scale="79" orientation="portrait"/>
  <headerFooter>
    <oddFooter>&amp;LVersion 7&amp;RAugust 2023</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5.43"/>
    <col customWidth="1" min="3" max="4" width="6.43"/>
    <col customWidth="1" min="5" max="5" width="7.0"/>
    <col customWidth="1" min="6" max="7" width="6.43"/>
    <col customWidth="1" min="8" max="8" width="7.0"/>
    <col customWidth="1" min="9" max="10" width="11.57"/>
  </cols>
  <sheetData>
    <row r="1">
      <c r="A1" s="87" t="s">
        <v>413</v>
      </c>
      <c r="B1" s="225" t="s">
        <v>414</v>
      </c>
      <c r="C1" s="67"/>
      <c r="D1" s="67"/>
      <c r="E1" s="67"/>
      <c r="F1" s="67"/>
      <c r="G1" s="67"/>
      <c r="H1" s="67"/>
      <c r="I1" s="67"/>
      <c r="J1" s="68"/>
    </row>
    <row r="2">
      <c r="A2" s="88" t="str">
        <f>CONCATENATE("Compliance based on ",IF(Path="","",Path))</f>
        <v>Compliance based on Appendix G PRM</v>
      </c>
      <c r="B2" s="67"/>
      <c r="C2" s="67"/>
      <c r="D2" s="67"/>
      <c r="E2" s="67"/>
      <c r="F2" s="67"/>
      <c r="G2" s="67"/>
      <c r="H2" s="67"/>
      <c r="I2" s="67"/>
      <c r="J2" s="68"/>
    </row>
    <row r="3" ht="56.25" customHeight="1">
      <c r="A3" s="227" t="s">
        <v>417</v>
      </c>
      <c r="B3" s="227" t="s">
        <v>418</v>
      </c>
      <c r="C3" s="124" t="s">
        <v>299</v>
      </c>
      <c r="D3" s="67"/>
      <c r="E3" s="68"/>
      <c r="F3" s="124" t="s">
        <v>301</v>
      </c>
      <c r="G3" s="67"/>
      <c r="H3" s="67"/>
      <c r="I3" s="67"/>
      <c r="J3" s="68"/>
    </row>
    <row r="4">
      <c r="A4" s="194"/>
      <c r="B4" s="194"/>
      <c r="C4" s="227" t="s">
        <v>405</v>
      </c>
      <c r="D4" s="227" t="s">
        <v>406</v>
      </c>
      <c r="E4" s="264" t="s">
        <v>422</v>
      </c>
      <c r="F4" s="227" t="s">
        <v>405</v>
      </c>
      <c r="G4" s="227" t="s">
        <v>406</v>
      </c>
      <c r="H4" s="97" t="s">
        <v>422</v>
      </c>
      <c r="I4" s="227" t="s">
        <v>183</v>
      </c>
      <c r="J4" s="227" t="s">
        <v>184</v>
      </c>
    </row>
    <row r="5">
      <c r="A5" s="198"/>
      <c r="B5" s="198"/>
      <c r="C5" s="198"/>
      <c r="D5" s="198"/>
      <c r="E5" s="267" t="s">
        <v>411</v>
      </c>
      <c r="F5" s="198"/>
      <c r="G5" s="198"/>
      <c r="H5" s="230" t="s">
        <v>411</v>
      </c>
      <c r="I5" s="198"/>
      <c r="J5" s="198"/>
    </row>
    <row r="6">
      <c r="A6" s="237" t="s">
        <v>239</v>
      </c>
      <c r="B6" s="269">
        <v>12381.63</v>
      </c>
      <c r="C6" s="237" t="s">
        <v>426</v>
      </c>
      <c r="D6" s="237" t="s">
        <v>426</v>
      </c>
      <c r="E6" s="270">
        <f>IF($A6="","",IF($B6="","",IF('4. Compliance'!$B$4="Section 11 ECB",VLOOKUP($A6,'Lighting Lookup'!$A$2:$C$33,2),VLOOKUP($A6,'Lighting Lookup'!$A$2:$C$33,3))))</f>
        <v>0.7</v>
      </c>
      <c r="F6" s="237" t="s">
        <v>428</v>
      </c>
      <c r="G6" s="232" t="s">
        <v>426</v>
      </c>
      <c r="H6" s="272">
        <v>0.07</v>
      </c>
      <c r="I6" s="109" t="s">
        <v>423</v>
      </c>
    </row>
    <row r="7">
      <c r="A7" s="237"/>
      <c r="B7" s="269"/>
      <c r="C7" s="237"/>
      <c r="D7" s="237"/>
      <c r="E7" s="270" t="str">
        <f>IF($A7="","",IF($B7="","",IF('4. Compliance'!$B$4="Section 11 ECB",VLOOKUP($A7,'Lighting Lookup'!$A$2:$C$33,2),VLOOKUP($A7,'Lighting Lookup'!$A$2:$C$33,3))))</f>
        <v/>
      </c>
      <c r="F7" s="237"/>
      <c r="G7" s="232"/>
      <c r="H7" s="272"/>
      <c r="I7" s="109"/>
      <c r="J7" s="109"/>
    </row>
    <row r="8">
      <c r="A8" s="237"/>
      <c r="B8" s="269"/>
      <c r="C8" s="237"/>
      <c r="D8" s="237"/>
      <c r="E8" s="270" t="str">
        <f>IF($A8="","",IF($B8="","",IF('4. Compliance'!$B$4="Section 11 ECB",VLOOKUP($A8,'Lighting Lookup'!$A$2:$C$33,2),VLOOKUP($A8,'Lighting Lookup'!$A$2:$C$33,3))))</f>
        <v/>
      </c>
      <c r="F8" s="237"/>
      <c r="G8" s="232"/>
      <c r="H8" s="272"/>
      <c r="I8" s="109"/>
      <c r="J8" s="109"/>
    </row>
    <row r="9">
      <c r="A9" s="237"/>
      <c r="B9" s="269"/>
      <c r="C9" s="237"/>
      <c r="D9" s="237"/>
      <c r="E9" s="270" t="str">
        <f>IF($A9="","",IF($B9="","",IF('4. Compliance'!$B$4="Section 11 ECB",VLOOKUP($A9,'Lighting Lookup'!$A$2:$C$33,2),VLOOKUP($A9,'Lighting Lookup'!$A$2:$C$33,3))))</f>
        <v/>
      </c>
      <c r="F9" s="237"/>
      <c r="G9" s="232"/>
      <c r="H9" s="272"/>
      <c r="I9" s="109"/>
      <c r="J9" s="109"/>
    </row>
    <row r="10">
      <c r="A10" s="237"/>
      <c r="B10" s="269"/>
      <c r="C10" s="237"/>
      <c r="D10" s="237"/>
      <c r="E10" s="270" t="str">
        <f>IF($A10="","",IF($B10="","",IF('4. Compliance'!$B$4="Section 11 ECB",VLOOKUP($A10,'Lighting Lookup'!$A$2:$C$33,2),VLOOKUP($A10,'Lighting Lookup'!$A$2:$C$33,3))))</f>
        <v/>
      </c>
      <c r="F10" s="237"/>
      <c r="G10" s="232"/>
      <c r="H10" s="272"/>
      <c r="I10" s="109"/>
      <c r="J10" s="109"/>
    </row>
    <row r="11">
      <c r="A11" s="237"/>
      <c r="B11" s="269"/>
      <c r="C11" s="237"/>
      <c r="D11" s="237"/>
      <c r="E11" s="270" t="str">
        <f>IF($A11="","",IF($B11="","",IF('4. Compliance'!$B$4="Section 11 ECB",VLOOKUP($A11,'Lighting Lookup'!$A$2:$C$33,2),VLOOKUP($A11,'Lighting Lookup'!$A$2:$C$33,3))))</f>
        <v/>
      </c>
      <c r="F11" s="237"/>
      <c r="G11" s="232"/>
      <c r="H11" s="272"/>
      <c r="I11" s="109"/>
      <c r="J11" s="109"/>
    </row>
    <row r="12">
      <c r="A12" s="237"/>
      <c r="B12" s="269"/>
      <c r="C12" s="237"/>
      <c r="D12" s="237"/>
      <c r="E12" s="270" t="str">
        <f>IF($A12="","",IF($B12="","",IF('4. Compliance'!$B$4="Section 11 ECB",VLOOKUP($A12,'Lighting Lookup'!$A$2:$C$33,2),VLOOKUP($A12,'Lighting Lookup'!$A$2:$C$33,3))))</f>
        <v/>
      </c>
      <c r="F12" s="237"/>
      <c r="G12" s="232"/>
      <c r="H12" s="272"/>
      <c r="I12" s="109"/>
      <c r="J12" s="109"/>
    </row>
    <row r="13">
      <c r="A13" s="237"/>
      <c r="B13" s="269"/>
      <c r="C13" s="237"/>
      <c r="D13" s="237"/>
      <c r="E13" s="270" t="str">
        <f>IF($A13="","",IF($B13="","",IF('4. Compliance'!$B$4="Section 11 ECB",VLOOKUP($A13,'Lighting Lookup'!$A$2:$C$33,2),VLOOKUP($A13,'Lighting Lookup'!$A$2:$C$33,3))))</f>
        <v/>
      </c>
      <c r="F13" s="237"/>
      <c r="G13" s="232"/>
      <c r="H13" s="272"/>
      <c r="I13" s="109"/>
      <c r="J13" s="109"/>
    </row>
    <row r="14">
      <c r="A14" s="237"/>
      <c r="B14" s="269"/>
      <c r="C14" s="237"/>
      <c r="D14" s="237"/>
      <c r="E14" s="270" t="str">
        <f>IF($A14="","",IF($B14="","",IF('4. Compliance'!$B$4="Section 11 ECB",VLOOKUP($A14,'Lighting Lookup'!$A$2:$C$33,2),VLOOKUP($A14,'Lighting Lookup'!$A$2:$C$33,3))))</f>
        <v/>
      </c>
      <c r="F14" s="237"/>
      <c r="G14" s="232"/>
      <c r="H14" s="272"/>
      <c r="I14" s="109"/>
      <c r="J14" s="109"/>
    </row>
    <row r="15">
      <c r="A15" s="237"/>
      <c r="B15" s="269"/>
      <c r="C15" s="237"/>
      <c r="D15" s="237"/>
      <c r="E15" s="270" t="str">
        <f>IF($A15="","",IF($B15="","",IF('4. Compliance'!$B$4="Section 11 ECB",VLOOKUP($A15,'Lighting Lookup'!$A$2:$C$33,2),VLOOKUP($A15,'Lighting Lookup'!$A$2:$C$33,3))))</f>
        <v/>
      </c>
      <c r="F15" s="237"/>
      <c r="G15" s="232"/>
      <c r="H15" s="272"/>
      <c r="I15" s="109"/>
      <c r="J15" s="109"/>
    </row>
    <row r="16">
      <c r="A16" s="237"/>
      <c r="B16" s="269"/>
      <c r="C16" s="237"/>
      <c r="D16" s="237"/>
      <c r="E16" s="270" t="str">
        <f>IF($A16="","",IF($B16="","",IF('4. Compliance'!$B$4="Section 11 ECB",VLOOKUP($A16,'Lighting Lookup'!$A$2:$C$33,2),VLOOKUP($A16,'Lighting Lookup'!$A$2:$C$33,3))))</f>
        <v/>
      </c>
      <c r="F16" s="237"/>
      <c r="G16" s="232"/>
      <c r="H16" s="272"/>
      <c r="I16" s="109"/>
      <c r="J16" s="109"/>
    </row>
    <row r="17">
      <c r="A17" s="237"/>
      <c r="B17" s="269"/>
      <c r="C17" s="237"/>
      <c r="D17" s="237"/>
      <c r="E17" s="270" t="str">
        <f>IF($A17="","",IF($B17="","",IF('4. Compliance'!$B$4="Section 11 ECB",VLOOKUP($A17,'Lighting Lookup'!$A$2:$C$33,2),VLOOKUP($A17,'Lighting Lookup'!$A$2:$C$33,3))))</f>
        <v/>
      </c>
      <c r="F17" s="237"/>
      <c r="G17" s="232"/>
      <c r="H17" s="272"/>
      <c r="I17" s="109"/>
      <c r="J17" s="109"/>
    </row>
    <row r="18">
      <c r="A18" s="237"/>
      <c r="B18" s="269"/>
      <c r="C18" s="237"/>
      <c r="D18" s="237"/>
      <c r="E18" s="270" t="str">
        <f>IF($A18="","",IF($B18="","",IF('4. Compliance'!$B$4="Section 11 ECB",VLOOKUP($A18,'Lighting Lookup'!$A$2:$C$33,2),VLOOKUP($A18,'Lighting Lookup'!$A$2:$C$33,3))))</f>
        <v/>
      </c>
      <c r="F18" s="237"/>
      <c r="G18" s="232"/>
      <c r="H18" s="272"/>
      <c r="I18" s="109"/>
      <c r="J18" s="109"/>
    </row>
    <row r="19">
      <c r="A19" s="237"/>
      <c r="B19" s="269"/>
      <c r="C19" s="237"/>
      <c r="D19" s="237"/>
      <c r="E19" s="270" t="str">
        <f>IF($A19="","",IF($B19="","",IF('4. Compliance'!$B$4="Section 11 ECB",VLOOKUP($A19,'Lighting Lookup'!$A$2:$C$33,2),VLOOKUP($A19,'Lighting Lookup'!$A$2:$C$33,3))))</f>
        <v/>
      </c>
      <c r="F19" s="237"/>
      <c r="G19" s="232"/>
      <c r="H19" s="272"/>
      <c r="I19" s="109"/>
      <c r="J19" s="109"/>
    </row>
    <row r="20">
      <c r="A20" s="237"/>
      <c r="B20" s="269"/>
      <c r="C20" s="237"/>
      <c r="D20" s="237"/>
      <c r="E20" s="270" t="str">
        <f>IF($A20="","",IF($B20="","",IF('4. Compliance'!$B$4="Section 11 ECB",VLOOKUP($A20,'Lighting Lookup'!$A$2:$C$33,2),VLOOKUP($A20,'Lighting Lookup'!$A$2:$C$33,3))))</f>
        <v/>
      </c>
      <c r="F20" s="237"/>
      <c r="G20" s="232"/>
      <c r="H20" s="272"/>
      <c r="I20" s="109"/>
      <c r="J20" s="109"/>
    </row>
    <row r="21" ht="15.75" customHeight="1">
      <c r="A21" s="237"/>
      <c r="B21" s="269"/>
      <c r="C21" s="237"/>
      <c r="D21" s="237"/>
      <c r="E21" s="270" t="str">
        <f>IF($A21="","",IF($B21="","",IF('4. Compliance'!$B$4="Section 11 ECB",VLOOKUP($A21,'Lighting Lookup'!$A$2:$C$33,2),VLOOKUP($A21,'Lighting Lookup'!$A$2:$C$33,3))))</f>
        <v/>
      </c>
      <c r="F21" s="237"/>
      <c r="G21" s="232"/>
      <c r="H21" s="272"/>
      <c r="I21" s="109"/>
      <c r="J21" s="109"/>
    </row>
    <row r="22" ht="15.75" customHeight="1">
      <c r="A22" s="237"/>
      <c r="B22" s="269"/>
      <c r="C22" s="237"/>
      <c r="D22" s="237"/>
      <c r="E22" s="270" t="str">
        <f>IF($A22="","",IF($B22="","",IF('4. Compliance'!$B$4="Section 11 ECB",VLOOKUP($A22,'Lighting Lookup'!$A$2:$C$33,2),VLOOKUP($A22,'Lighting Lookup'!$A$2:$C$33,3))))</f>
        <v/>
      </c>
      <c r="F22" s="237"/>
      <c r="G22" s="232"/>
      <c r="H22" s="272"/>
      <c r="I22" s="109"/>
      <c r="J22" s="109"/>
    </row>
    <row r="23" ht="15.75" customHeight="1">
      <c r="A23" s="237"/>
      <c r="B23" s="269"/>
      <c r="C23" s="237"/>
      <c r="D23" s="237"/>
      <c r="E23" s="270" t="str">
        <f>IF($A23="","",IF($B23="","",IF('4. Compliance'!$B$4="Section 11 ECB",VLOOKUP($A23,'Lighting Lookup'!$A$2:$C$33,2),VLOOKUP($A23,'Lighting Lookup'!$A$2:$C$33,3))))</f>
        <v/>
      </c>
      <c r="F23" s="237"/>
      <c r="G23" s="232"/>
      <c r="H23" s="272"/>
      <c r="I23" s="109"/>
      <c r="J23" s="109"/>
    </row>
    <row r="24" ht="15.75" customHeight="1">
      <c r="A24" s="237"/>
      <c r="B24" s="269"/>
      <c r="C24" s="237"/>
      <c r="D24" s="237"/>
      <c r="E24" s="270" t="str">
        <f>IF($A24="","",IF($B24="","",IF('4. Compliance'!$B$4="Section 11 ECB",VLOOKUP($A24,'Lighting Lookup'!$A$2:$C$33,2),VLOOKUP($A24,'Lighting Lookup'!$A$2:$C$33,3))))</f>
        <v/>
      </c>
      <c r="F24" s="237"/>
      <c r="G24" s="232"/>
      <c r="H24" s="272"/>
      <c r="I24" s="109"/>
      <c r="J24" s="109"/>
    </row>
    <row r="25" ht="15.75" customHeight="1">
      <c r="A25" s="237"/>
      <c r="B25" s="269"/>
      <c r="C25" s="237"/>
      <c r="D25" s="237"/>
      <c r="E25" s="270" t="str">
        <f>IF($A25="","",IF($B25="","",IF('4. Compliance'!$B$4="Section 11 ECB",VLOOKUP($A25,'Lighting Lookup'!$A$2:$C$33,2),VLOOKUP($A25,'Lighting Lookup'!$A$2:$C$33,3))))</f>
        <v/>
      </c>
      <c r="F25" s="237"/>
      <c r="G25" s="232"/>
      <c r="H25" s="272"/>
      <c r="I25" s="109"/>
      <c r="J25" s="109"/>
    </row>
    <row r="26" ht="15.75" customHeight="1">
      <c r="A26" s="237"/>
      <c r="B26" s="269"/>
      <c r="C26" s="237"/>
      <c r="D26" s="237"/>
      <c r="E26" s="270" t="str">
        <f>IF($A26="","",IF($B26="","",IF('4. Compliance'!$B$4="Section 11 ECB",VLOOKUP($A26,'Lighting Lookup'!$A$2:$C$33,2),VLOOKUP($A26,'Lighting Lookup'!$A$2:$C$33,3))))</f>
        <v/>
      </c>
      <c r="F26" s="237"/>
      <c r="G26" s="232"/>
      <c r="H26" s="272"/>
      <c r="I26" s="109"/>
      <c r="J26" s="109"/>
    </row>
    <row r="27" ht="15.75" customHeight="1">
      <c r="A27" s="237"/>
      <c r="B27" s="269"/>
      <c r="C27" s="237"/>
      <c r="D27" s="237"/>
      <c r="E27" s="270" t="str">
        <f>IF($A27="","",IF($B27="","",IF('4. Compliance'!$B$4="Section 11 ECB",VLOOKUP($A27,'Lighting Lookup'!$A$2:$C$33,2),VLOOKUP($A27,'Lighting Lookup'!$A$2:$C$33,3))))</f>
        <v/>
      </c>
      <c r="F27" s="237"/>
      <c r="G27" s="232"/>
      <c r="H27" s="272"/>
      <c r="I27" s="109"/>
      <c r="J27" s="109"/>
    </row>
    <row r="28" ht="15.75" customHeight="1">
      <c r="A28" s="237"/>
      <c r="B28" s="269"/>
      <c r="C28" s="237"/>
      <c r="D28" s="237"/>
      <c r="E28" s="270" t="str">
        <f>IF($A28="","",IF($B28="","",IF('4. Compliance'!$B$4="Section 11 ECB",VLOOKUP($A28,'Lighting Lookup'!$A$2:$C$33,2),VLOOKUP($A28,'Lighting Lookup'!$A$2:$C$33,3))))</f>
        <v/>
      </c>
      <c r="F28" s="237"/>
      <c r="G28" s="232"/>
      <c r="H28" s="272"/>
      <c r="I28" s="109"/>
      <c r="J28" s="109"/>
    </row>
    <row r="29" ht="15.75" customHeight="1">
      <c r="A29" s="237"/>
      <c r="B29" s="269"/>
      <c r="C29" s="237"/>
      <c r="D29" s="237"/>
      <c r="E29" s="270" t="str">
        <f>IF($A29="","",IF($B29="","",IF('4. Compliance'!$B$4="Section 11 ECB",VLOOKUP($A29,'Lighting Lookup'!$A$2:$C$33,2),VLOOKUP($A29,'Lighting Lookup'!$A$2:$C$33,3))))</f>
        <v/>
      </c>
      <c r="F29" s="237"/>
      <c r="G29" s="232"/>
      <c r="H29" s="272"/>
      <c r="I29" s="109"/>
      <c r="J29" s="109"/>
    </row>
    <row r="30" ht="23.25" customHeight="1">
      <c r="A30" s="298" t="s">
        <v>328</v>
      </c>
      <c r="B30" s="299">
        <f>SUM(B6:B29)</f>
        <v>12381.63</v>
      </c>
      <c r="C30" s="300"/>
      <c r="D30" s="300"/>
      <c r="E30" s="301">
        <f>IF(B30="","",SUMPRODUCT(B6:B29,E6:E29)/B30)</f>
        <v>0.7</v>
      </c>
      <c r="F30" s="300"/>
      <c r="G30" s="298"/>
      <c r="H30" s="301">
        <f>IF(H6="","",SUMPRODUCT(B6:B29,H6:H29)/B30)</f>
        <v>0.07</v>
      </c>
      <c r="I30" s="302"/>
      <c r="J30" s="302"/>
    </row>
    <row r="31" ht="15.75" customHeight="1">
      <c r="A31" s="182"/>
      <c r="B31" s="45"/>
      <c r="C31" s="45"/>
      <c r="D31" s="45"/>
      <c r="E31" s="45"/>
      <c r="F31" s="45"/>
      <c r="G31" s="45"/>
      <c r="H31" s="45"/>
      <c r="I31" s="45"/>
      <c r="J31" s="46"/>
    </row>
    <row r="32" ht="15.75" customHeight="1">
      <c r="A32" s="47"/>
      <c r="J32" s="48"/>
    </row>
    <row r="33" ht="15.75" customHeight="1">
      <c r="A33" s="47"/>
      <c r="J33" s="48"/>
    </row>
    <row r="34" ht="15.75" customHeight="1">
      <c r="A34" s="47"/>
      <c r="J34" s="48"/>
    </row>
    <row r="35" ht="15.75" customHeight="1">
      <c r="A35" s="47"/>
      <c r="J35" s="48"/>
    </row>
    <row r="36" ht="15.75" customHeight="1">
      <c r="A36" s="47"/>
      <c r="J36" s="48"/>
    </row>
    <row r="37" ht="15.75" customHeight="1">
      <c r="A37" s="47"/>
      <c r="J37" s="48"/>
    </row>
    <row r="38" ht="15.75" customHeight="1">
      <c r="A38" s="47"/>
      <c r="J38" s="48"/>
    </row>
    <row r="39" ht="15.75" customHeight="1">
      <c r="A39" s="47"/>
      <c r="J39" s="48"/>
    </row>
    <row r="40" ht="15.75" customHeight="1">
      <c r="A40" s="47"/>
      <c r="J40" s="48"/>
    </row>
    <row r="41" ht="15.75" customHeight="1">
      <c r="A41" s="47"/>
      <c r="J41" s="48"/>
    </row>
    <row r="42" ht="15.75" customHeight="1">
      <c r="A42" s="49"/>
      <c r="B42" s="50"/>
      <c r="C42" s="50"/>
      <c r="D42" s="50"/>
      <c r="E42" s="50"/>
      <c r="F42" s="50"/>
      <c r="G42" s="50"/>
      <c r="H42" s="50"/>
      <c r="I42" s="50"/>
      <c r="J42" s="51"/>
    </row>
    <row r="43" ht="15.75" customHeight="1">
      <c r="A43" s="4"/>
      <c r="B43" s="4"/>
      <c r="C43" s="4"/>
      <c r="D43" s="4"/>
      <c r="E43" s="260"/>
      <c r="F43" s="4"/>
      <c r="G43" s="4"/>
      <c r="H43" s="4"/>
      <c r="I43" s="4"/>
      <c r="J43" s="4"/>
    </row>
    <row r="44" ht="15.75" customHeight="1">
      <c r="A44" s="4"/>
      <c r="B44" s="4"/>
      <c r="C44" s="4"/>
      <c r="D44" s="4"/>
      <c r="E44" s="260"/>
      <c r="F44" s="4"/>
      <c r="G44" s="4"/>
      <c r="H44" s="4"/>
      <c r="I44" s="4"/>
      <c r="J44" s="4"/>
    </row>
    <row r="45" ht="15.75" customHeight="1">
      <c r="A45" s="4"/>
      <c r="B45" s="4"/>
      <c r="C45" s="4"/>
      <c r="D45" s="4"/>
      <c r="E45" s="260"/>
      <c r="F45" s="4"/>
      <c r="G45" s="4"/>
      <c r="H45" s="4"/>
      <c r="I45" s="4"/>
      <c r="J45" s="4"/>
    </row>
    <row r="46" ht="15.75" customHeight="1">
      <c r="A46" s="4"/>
      <c r="B46" s="4"/>
      <c r="C46" s="4"/>
      <c r="D46" s="4"/>
      <c r="E46" s="260"/>
      <c r="F46" s="4"/>
      <c r="G46" s="4"/>
      <c r="H46" s="4"/>
      <c r="I46" s="4"/>
      <c r="J46" s="4"/>
    </row>
    <row r="47" ht="15.75" customHeight="1">
      <c r="A47" s="4"/>
      <c r="B47" s="4"/>
      <c r="C47" s="4"/>
      <c r="D47" s="4"/>
      <c r="E47" s="260"/>
      <c r="F47" s="4"/>
      <c r="G47" s="4"/>
      <c r="H47" s="4"/>
      <c r="I47" s="4"/>
      <c r="J47" s="4"/>
    </row>
    <row r="48" ht="15.75" customHeight="1">
      <c r="A48" s="4"/>
      <c r="B48" s="4"/>
      <c r="C48" s="4"/>
      <c r="D48" s="4"/>
      <c r="E48" s="260"/>
      <c r="F48" s="4"/>
      <c r="G48" s="4"/>
      <c r="H48" s="4"/>
      <c r="I48" s="4"/>
      <c r="J48" s="4"/>
    </row>
    <row r="49" ht="15.75" customHeight="1">
      <c r="A49" s="4"/>
      <c r="B49" s="4"/>
      <c r="C49" s="4"/>
      <c r="D49" s="4"/>
      <c r="E49" s="260"/>
      <c r="F49" s="4"/>
      <c r="G49" s="4"/>
      <c r="H49" s="4"/>
      <c r="I49" s="4"/>
      <c r="J49" s="4"/>
    </row>
    <row r="50" ht="15.75" customHeight="1">
      <c r="A50" s="4"/>
      <c r="B50" s="4"/>
      <c r="C50" s="4"/>
      <c r="D50" s="4"/>
      <c r="E50" s="260"/>
      <c r="F50" s="4"/>
      <c r="G50" s="4"/>
      <c r="H50" s="4"/>
      <c r="I50" s="4"/>
      <c r="J50" s="4"/>
    </row>
    <row r="51" ht="15.75" customHeight="1">
      <c r="A51" s="4"/>
      <c r="B51" s="4"/>
      <c r="C51" s="4"/>
      <c r="D51" s="4"/>
      <c r="E51" s="260"/>
      <c r="F51" s="4"/>
      <c r="G51" s="4"/>
      <c r="H51" s="4"/>
      <c r="I51" s="4"/>
      <c r="J51" s="4"/>
    </row>
    <row r="52" ht="15.75" customHeight="1">
      <c r="A52" s="4"/>
      <c r="B52" s="4"/>
      <c r="C52" s="4"/>
      <c r="D52" s="4"/>
      <c r="E52" s="260"/>
      <c r="F52" s="4"/>
      <c r="G52" s="4"/>
      <c r="H52" s="4"/>
      <c r="I52" s="4"/>
      <c r="J52" s="4"/>
    </row>
    <row r="53" ht="15.75" customHeight="1">
      <c r="A53" s="4"/>
      <c r="B53" s="4"/>
      <c r="C53" s="4"/>
      <c r="D53" s="4"/>
      <c r="E53" s="260"/>
      <c r="F53" s="4"/>
      <c r="G53" s="4"/>
      <c r="H53" s="4"/>
      <c r="I53" s="4"/>
      <c r="J53" s="4"/>
    </row>
    <row r="54" ht="15.75" customHeight="1">
      <c r="A54" s="4"/>
      <c r="B54" s="4"/>
      <c r="C54" s="4"/>
      <c r="D54" s="4"/>
      <c r="E54" s="260"/>
      <c r="F54" s="4"/>
      <c r="G54" s="4"/>
      <c r="H54" s="4"/>
      <c r="I54" s="4"/>
      <c r="J54" s="4"/>
    </row>
    <row r="55" ht="15.75" customHeight="1">
      <c r="A55" s="4"/>
      <c r="B55" s="4"/>
      <c r="C55" s="4"/>
      <c r="D55" s="4"/>
      <c r="E55" s="260"/>
      <c r="F55" s="4"/>
      <c r="G55" s="4"/>
      <c r="H55" s="4"/>
      <c r="I55" s="4"/>
      <c r="J55" s="4"/>
    </row>
    <row r="56" ht="15.75" customHeight="1">
      <c r="A56" s="4"/>
      <c r="B56" s="4"/>
      <c r="C56" s="4"/>
      <c r="D56" s="4"/>
      <c r="E56" s="260"/>
      <c r="F56" s="4"/>
      <c r="G56" s="4"/>
      <c r="H56" s="4"/>
      <c r="I56" s="4"/>
      <c r="J56" s="4"/>
    </row>
    <row r="57" ht="15.75" customHeight="1">
      <c r="A57" s="4"/>
      <c r="B57" s="4"/>
      <c r="C57" s="4"/>
      <c r="D57" s="4"/>
      <c r="E57" s="260"/>
      <c r="F57" s="4"/>
      <c r="G57" s="4"/>
      <c r="H57" s="4"/>
      <c r="I57" s="4"/>
      <c r="J57" s="4"/>
    </row>
    <row r="58" ht="15.75" customHeight="1">
      <c r="A58" s="4"/>
      <c r="B58" s="4"/>
      <c r="C58" s="4"/>
      <c r="D58" s="4"/>
      <c r="E58" s="260"/>
      <c r="F58" s="4"/>
      <c r="G58" s="4"/>
      <c r="H58" s="4"/>
      <c r="I58" s="4"/>
      <c r="J58" s="4"/>
    </row>
    <row r="59" ht="15.75" customHeight="1">
      <c r="A59" s="4"/>
      <c r="B59" s="4"/>
      <c r="C59" s="4"/>
      <c r="D59" s="4"/>
      <c r="E59" s="260"/>
      <c r="F59" s="4"/>
      <c r="G59" s="4"/>
      <c r="H59" s="4"/>
      <c r="I59" s="4"/>
      <c r="J59" s="4"/>
    </row>
    <row r="60" ht="15.75" customHeight="1">
      <c r="A60" s="4"/>
      <c r="B60" s="4"/>
      <c r="C60" s="4"/>
      <c r="D60" s="4"/>
      <c r="E60" s="260"/>
      <c r="F60" s="4"/>
      <c r="G60" s="4"/>
      <c r="H60" s="4"/>
      <c r="I60" s="4"/>
      <c r="J60" s="4"/>
    </row>
    <row r="61" ht="15.75" customHeight="1">
      <c r="A61" s="4"/>
      <c r="B61" s="4"/>
      <c r="C61" s="4"/>
      <c r="D61" s="4"/>
      <c r="E61" s="260"/>
      <c r="F61" s="4"/>
      <c r="G61" s="4"/>
      <c r="H61" s="4"/>
      <c r="I61" s="4"/>
      <c r="J61" s="4"/>
    </row>
    <row r="62" ht="15.75" customHeight="1">
      <c r="A62" s="4"/>
      <c r="B62" s="4"/>
      <c r="C62" s="4"/>
      <c r="D62" s="4"/>
      <c r="E62" s="260"/>
      <c r="F62" s="4"/>
      <c r="G62" s="4"/>
      <c r="H62" s="4"/>
      <c r="I62" s="4"/>
      <c r="J62" s="4"/>
    </row>
    <row r="63" ht="15.75" customHeight="1">
      <c r="A63" s="4"/>
      <c r="B63" s="4"/>
      <c r="C63" s="4"/>
      <c r="D63" s="4"/>
      <c r="E63" s="260"/>
      <c r="F63" s="4"/>
      <c r="G63" s="4"/>
      <c r="H63" s="4"/>
      <c r="I63" s="4"/>
      <c r="J63" s="4"/>
    </row>
    <row r="64" ht="15.75" customHeight="1">
      <c r="A64" s="4"/>
      <c r="B64" s="4"/>
      <c r="C64" s="4"/>
      <c r="D64" s="4"/>
      <c r="E64" s="260"/>
      <c r="F64" s="4"/>
      <c r="G64" s="4"/>
      <c r="H64" s="4"/>
      <c r="I64" s="4"/>
      <c r="J64" s="4"/>
    </row>
    <row r="65" ht="15.75" customHeight="1">
      <c r="A65" s="4"/>
      <c r="B65" s="4"/>
      <c r="C65" s="4"/>
      <c r="D65" s="4"/>
      <c r="E65" s="260"/>
      <c r="F65" s="4"/>
      <c r="G65" s="4"/>
      <c r="H65" s="4"/>
      <c r="I65" s="4"/>
      <c r="J65" s="4"/>
    </row>
    <row r="66" ht="15.75" customHeight="1">
      <c r="A66" s="4"/>
      <c r="B66" s="4"/>
      <c r="C66" s="4"/>
      <c r="D66" s="4"/>
      <c r="E66" s="260"/>
      <c r="F66" s="4"/>
      <c r="G66" s="4"/>
      <c r="H66" s="4"/>
      <c r="I66" s="4"/>
      <c r="J66" s="4"/>
    </row>
    <row r="67" ht="15.75" customHeight="1">
      <c r="A67" s="4"/>
      <c r="B67" s="4"/>
      <c r="C67" s="4"/>
      <c r="D67" s="4"/>
      <c r="E67" s="260"/>
      <c r="F67" s="4"/>
      <c r="G67" s="4"/>
      <c r="H67" s="4"/>
      <c r="I67" s="4"/>
      <c r="J67" s="4"/>
    </row>
    <row r="68" ht="15.75" customHeight="1">
      <c r="A68" s="4"/>
      <c r="B68" s="4"/>
      <c r="C68" s="4"/>
      <c r="D68" s="4"/>
      <c r="E68" s="260"/>
      <c r="F68" s="4"/>
      <c r="G68" s="4"/>
      <c r="H68" s="4"/>
      <c r="I68" s="4"/>
      <c r="J68" s="4"/>
    </row>
    <row r="69" ht="15.75" customHeight="1">
      <c r="A69" s="4"/>
      <c r="B69" s="4"/>
      <c r="C69" s="4"/>
      <c r="D69" s="4"/>
      <c r="E69" s="260"/>
      <c r="F69" s="4"/>
      <c r="G69" s="4"/>
      <c r="H69" s="4"/>
      <c r="I69" s="4"/>
      <c r="J69" s="4"/>
    </row>
    <row r="70" ht="15.75" customHeight="1">
      <c r="A70" s="4"/>
      <c r="B70" s="4"/>
      <c r="C70" s="4"/>
      <c r="D70" s="4"/>
      <c r="E70" s="260"/>
      <c r="F70" s="4"/>
      <c r="G70" s="4"/>
      <c r="H70" s="4"/>
      <c r="I70" s="4"/>
      <c r="J70" s="4"/>
    </row>
    <row r="71" ht="15.75" customHeight="1">
      <c r="A71" s="4"/>
      <c r="B71" s="4"/>
      <c r="C71" s="4"/>
      <c r="D71" s="4"/>
      <c r="E71" s="260"/>
      <c r="F71" s="4"/>
      <c r="G71" s="4"/>
      <c r="H71" s="4"/>
      <c r="I71" s="4"/>
      <c r="J71" s="4"/>
    </row>
    <row r="72" ht="15.75" customHeight="1">
      <c r="A72" s="4"/>
      <c r="B72" s="4"/>
      <c r="C72" s="4"/>
      <c r="D72" s="4"/>
      <c r="E72" s="260"/>
      <c r="F72" s="4"/>
      <c r="G72" s="4"/>
      <c r="H72" s="4"/>
      <c r="I72" s="4"/>
      <c r="J72" s="4"/>
    </row>
    <row r="73" ht="15.75" customHeight="1">
      <c r="A73" s="4"/>
      <c r="B73" s="4"/>
      <c r="C73" s="4"/>
      <c r="D73" s="4"/>
      <c r="E73" s="260"/>
      <c r="F73" s="4"/>
      <c r="G73" s="4"/>
      <c r="H73" s="4"/>
      <c r="I73" s="4"/>
      <c r="J73" s="4"/>
    </row>
    <row r="74" ht="15.75" customHeight="1">
      <c r="A74" s="4"/>
      <c r="B74" s="4"/>
      <c r="C74" s="4"/>
      <c r="D74" s="4"/>
      <c r="E74" s="260"/>
      <c r="F74" s="4"/>
      <c r="G74" s="4"/>
      <c r="H74" s="4"/>
      <c r="I74" s="4"/>
      <c r="J74" s="4"/>
    </row>
    <row r="75" ht="15.75" customHeight="1">
      <c r="A75" s="4"/>
      <c r="B75" s="4"/>
      <c r="C75" s="4"/>
      <c r="D75" s="4"/>
      <c r="E75" s="260"/>
      <c r="F75" s="4"/>
      <c r="G75" s="4"/>
      <c r="H75" s="4"/>
      <c r="I75" s="4"/>
      <c r="J75" s="4"/>
    </row>
    <row r="76" ht="15.75" customHeight="1">
      <c r="A76" s="4"/>
      <c r="B76" s="4"/>
      <c r="C76" s="4"/>
      <c r="D76" s="4"/>
      <c r="E76" s="260"/>
      <c r="F76" s="4"/>
      <c r="G76" s="4"/>
      <c r="H76" s="4"/>
      <c r="I76" s="4"/>
      <c r="J76" s="4"/>
    </row>
    <row r="77" ht="15.75" customHeight="1">
      <c r="A77" s="4"/>
      <c r="B77" s="4"/>
      <c r="C77" s="4"/>
      <c r="D77" s="4"/>
      <c r="E77" s="260"/>
      <c r="F77" s="4"/>
      <c r="G77" s="4"/>
      <c r="H77" s="4"/>
      <c r="I77" s="4"/>
      <c r="J77" s="4"/>
    </row>
    <row r="78" ht="15.75" customHeight="1">
      <c r="A78" s="4"/>
      <c r="B78" s="4"/>
      <c r="C78" s="4"/>
      <c r="D78" s="4"/>
      <c r="E78" s="260"/>
      <c r="F78" s="4"/>
      <c r="G78" s="4"/>
      <c r="H78" s="4"/>
      <c r="I78" s="4"/>
      <c r="J78" s="4"/>
    </row>
    <row r="79" ht="15.75" customHeight="1">
      <c r="A79" s="4"/>
      <c r="B79" s="4"/>
      <c r="C79" s="4"/>
      <c r="D79" s="4"/>
      <c r="E79" s="260"/>
      <c r="F79" s="4"/>
      <c r="G79" s="4"/>
      <c r="H79" s="4"/>
      <c r="I79" s="4"/>
      <c r="J79" s="4"/>
    </row>
    <row r="80" ht="15.75" customHeight="1">
      <c r="A80" s="4"/>
      <c r="B80" s="4"/>
      <c r="C80" s="4"/>
      <c r="D80" s="4"/>
      <c r="E80" s="260"/>
      <c r="F80" s="4"/>
      <c r="G80" s="4"/>
      <c r="H80" s="4"/>
      <c r="I80" s="4"/>
      <c r="J80" s="4"/>
    </row>
    <row r="81" ht="15.75" customHeight="1">
      <c r="A81" s="4"/>
      <c r="B81" s="4"/>
      <c r="C81" s="4"/>
      <c r="D81" s="4"/>
      <c r="E81" s="260"/>
      <c r="F81" s="4"/>
      <c r="G81" s="4"/>
      <c r="H81" s="4"/>
      <c r="I81" s="4"/>
      <c r="J81" s="4"/>
    </row>
    <row r="82" ht="15.75" customHeight="1">
      <c r="A82" s="4"/>
      <c r="B82" s="4"/>
      <c r="C82" s="4"/>
      <c r="D82" s="4"/>
      <c r="E82" s="260"/>
      <c r="F82" s="4"/>
      <c r="G82" s="4"/>
      <c r="H82" s="4"/>
      <c r="I82" s="4"/>
      <c r="J82" s="4"/>
    </row>
    <row r="83" ht="15.75" customHeight="1">
      <c r="A83" s="4"/>
      <c r="B83" s="4"/>
      <c r="C83" s="4"/>
      <c r="D83" s="4"/>
      <c r="E83" s="260"/>
      <c r="F83" s="4"/>
      <c r="G83" s="4"/>
      <c r="H83" s="4"/>
      <c r="I83" s="4"/>
      <c r="J83" s="4"/>
    </row>
    <row r="84" ht="15.75" customHeight="1">
      <c r="A84" s="4"/>
      <c r="B84" s="4"/>
      <c r="C84" s="4"/>
      <c r="D84" s="4"/>
      <c r="E84" s="260"/>
      <c r="F84" s="4"/>
      <c r="G84" s="4"/>
      <c r="H84" s="4"/>
      <c r="I84" s="4"/>
      <c r="J84" s="4"/>
    </row>
    <row r="85" ht="15.75" customHeight="1">
      <c r="A85" s="4"/>
      <c r="B85" s="4"/>
      <c r="C85" s="4"/>
      <c r="D85" s="4"/>
      <c r="E85" s="260"/>
      <c r="F85" s="4"/>
      <c r="G85" s="4"/>
      <c r="H85" s="4"/>
      <c r="I85" s="4"/>
      <c r="J85" s="4"/>
    </row>
    <row r="86" ht="15.75" customHeight="1">
      <c r="A86" s="4"/>
      <c r="B86" s="4"/>
      <c r="C86" s="4"/>
      <c r="D86" s="4"/>
      <c r="E86" s="260"/>
      <c r="F86" s="4"/>
      <c r="G86" s="4"/>
      <c r="H86" s="4"/>
      <c r="I86" s="4"/>
      <c r="J86" s="4"/>
    </row>
    <row r="87" ht="15.75" customHeight="1">
      <c r="A87" s="4"/>
      <c r="B87" s="4"/>
      <c r="C87" s="4"/>
      <c r="D87" s="4"/>
      <c r="E87" s="260"/>
      <c r="F87" s="4"/>
      <c r="G87" s="4"/>
      <c r="H87" s="4"/>
      <c r="I87" s="4"/>
      <c r="J87" s="4"/>
    </row>
    <row r="88" ht="15.75" customHeight="1">
      <c r="A88" s="4"/>
      <c r="B88" s="4"/>
      <c r="C88" s="4"/>
      <c r="D88" s="4"/>
      <c r="E88" s="260"/>
      <c r="F88" s="4"/>
      <c r="G88" s="4"/>
      <c r="H88" s="4"/>
      <c r="I88" s="4"/>
      <c r="J88" s="4"/>
    </row>
    <row r="89" ht="15.75" customHeight="1">
      <c r="A89" s="4"/>
      <c r="B89" s="4"/>
      <c r="C89" s="4"/>
      <c r="D89" s="4"/>
      <c r="E89" s="260"/>
      <c r="F89" s="4"/>
      <c r="G89" s="4"/>
      <c r="H89" s="4"/>
      <c r="I89" s="4"/>
      <c r="J89" s="4"/>
    </row>
    <row r="90" ht="15.75" customHeight="1">
      <c r="A90" s="4"/>
      <c r="B90" s="4"/>
      <c r="C90" s="4"/>
      <c r="D90" s="4"/>
      <c r="E90" s="260"/>
      <c r="F90" s="4"/>
      <c r="G90" s="4"/>
      <c r="H90" s="4"/>
      <c r="I90" s="4"/>
      <c r="J90" s="4"/>
    </row>
    <row r="91" ht="15.75" customHeight="1">
      <c r="A91" s="4"/>
      <c r="B91" s="4"/>
      <c r="C91" s="4"/>
      <c r="D91" s="4"/>
      <c r="E91" s="260"/>
      <c r="F91" s="4"/>
      <c r="G91" s="4"/>
      <c r="H91" s="4"/>
      <c r="I91" s="4"/>
      <c r="J91" s="4"/>
    </row>
    <row r="92" ht="15.75" customHeight="1">
      <c r="A92" s="4"/>
      <c r="B92" s="4"/>
      <c r="C92" s="4"/>
      <c r="D92" s="4"/>
      <c r="E92" s="260"/>
      <c r="F92" s="4"/>
      <c r="G92" s="4"/>
      <c r="H92" s="4"/>
      <c r="I92" s="4"/>
      <c r="J92" s="4"/>
    </row>
    <row r="93" ht="15.75" customHeight="1">
      <c r="A93" s="4"/>
      <c r="B93" s="4"/>
      <c r="C93" s="4"/>
      <c r="D93" s="4"/>
      <c r="E93" s="260"/>
      <c r="F93" s="4"/>
      <c r="G93" s="4"/>
      <c r="H93" s="4"/>
      <c r="I93" s="4"/>
      <c r="J93" s="4"/>
    </row>
    <row r="94" ht="15.75" customHeight="1">
      <c r="A94" s="4"/>
      <c r="B94" s="4"/>
      <c r="C94" s="4"/>
      <c r="D94" s="4"/>
      <c r="E94" s="260"/>
      <c r="F94" s="4"/>
      <c r="G94" s="4"/>
      <c r="H94" s="4"/>
      <c r="I94" s="4"/>
      <c r="J94" s="4"/>
    </row>
    <row r="95" ht="15.75" customHeight="1">
      <c r="A95" s="4"/>
      <c r="B95" s="4"/>
      <c r="C95" s="4"/>
      <c r="D95" s="4"/>
      <c r="E95" s="260"/>
      <c r="F95" s="4"/>
      <c r="G95" s="4"/>
      <c r="H95" s="4"/>
      <c r="I95" s="4"/>
      <c r="J95" s="4"/>
    </row>
    <row r="96" ht="15.75" customHeight="1">
      <c r="A96" s="4"/>
      <c r="B96" s="4"/>
      <c r="C96" s="4"/>
      <c r="D96" s="4"/>
      <c r="E96" s="260"/>
      <c r="F96" s="4"/>
      <c r="G96" s="4"/>
      <c r="H96" s="4"/>
      <c r="I96" s="4"/>
      <c r="J96" s="4"/>
    </row>
    <row r="97" ht="15.75" customHeight="1">
      <c r="A97" s="4"/>
      <c r="B97" s="4"/>
      <c r="C97" s="4"/>
      <c r="D97" s="4"/>
      <c r="E97" s="260"/>
      <c r="F97" s="4"/>
      <c r="G97" s="4"/>
      <c r="H97" s="4"/>
      <c r="I97" s="4"/>
      <c r="J97" s="4"/>
    </row>
    <row r="98" ht="15.75" customHeight="1">
      <c r="A98" s="4"/>
      <c r="B98" s="4"/>
      <c r="C98" s="4"/>
      <c r="D98" s="4"/>
      <c r="E98" s="260"/>
      <c r="F98" s="4"/>
      <c r="G98" s="4"/>
      <c r="H98" s="4"/>
      <c r="I98" s="4"/>
      <c r="J98" s="4"/>
    </row>
    <row r="99" ht="15.75" customHeight="1">
      <c r="A99" s="4"/>
      <c r="B99" s="4"/>
      <c r="C99" s="4"/>
      <c r="D99" s="4"/>
      <c r="E99" s="260"/>
      <c r="F99" s="4"/>
      <c r="G99" s="4"/>
      <c r="H99" s="4"/>
      <c r="I99" s="4"/>
      <c r="J99" s="4"/>
    </row>
    <row r="100" ht="15.75" customHeight="1">
      <c r="A100" s="4"/>
      <c r="B100" s="4"/>
      <c r="C100" s="4"/>
      <c r="D100" s="4"/>
      <c r="E100" s="260"/>
      <c r="F100" s="4"/>
      <c r="G100" s="4"/>
      <c r="H100" s="4"/>
      <c r="I100" s="4"/>
      <c r="J100" s="4"/>
    </row>
    <row r="101" ht="15.75" customHeight="1">
      <c r="A101" s="4"/>
      <c r="B101" s="4"/>
      <c r="C101" s="4"/>
      <c r="D101" s="4"/>
      <c r="E101" s="260"/>
      <c r="F101" s="4"/>
      <c r="G101" s="4"/>
      <c r="H101" s="4"/>
      <c r="I101" s="4"/>
      <c r="J101" s="4"/>
    </row>
    <row r="102" ht="15.75" customHeight="1">
      <c r="A102" s="4"/>
      <c r="B102" s="4"/>
      <c r="C102" s="4"/>
      <c r="D102" s="4"/>
      <c r="E102" s="260"/>
      <c r="F102" s="4"/>
      <c r="G102" s="4"/>
      <c r="H102" s="4"/>
      <c r="I102" s="4"/>
      <c r="J102" s="4"/>
    </row>
    <row r="103" ht="15.75" customHeight="1">
      <c r="A103" s="4"/>
      <c r="B103" s="4"/>
      <c r="C103" s="4"/>
      <c r="D103" s="4"/>
      <c r="E103" s="260"/>
      <c r="F103" s="4"/>
      <c r="G103" s="4"/>
      <c r="H103" s="4"/>
      <c r="I103" s="4"/>
      <c r="J103" s="4"/>
    </row>
    <row r="104" ht="15.75" customHeight="1">
      <c r="A104" s="4"/>
      <c r="B104" s="4"/>
      <c r="C104" s="4"/>
      <c r="D104" s="4"/>
      <c r="E104" s="260"/>
      <c r="F104" s="4"/>
      <c r="G104" s="4"/>
      <c r="H104" s="4"/>
      <c r="I104" s="4"/>
      <c r="J104" s="4"/>
    </row>
    <row r="105" ht="15.75" customHeight="1">
      <c r="A105" s="4"/>
      <c r="B105" s="4"/>
      <c r="C105" s="4"/>
      <c r="D105" s="4"/>
      <c r="E105" s="260"/>
      <c r="F105" s="4"/>
      <c r="G105" s="4"/>
      <c r="H105" s="4"/>
      <c r="I105" s="4"/>
      <c r="J105" s="4"/>
    </row>
    <row r="106" ht="15.75" customHeight="1">
      <c r="A106" s="4"/>
      <c r="B106" s="4"/>
      <c r="C106" s="4"/>
      <c r="D106" s="4"/>
      <c r="E106" s="260"/>
      <c r="F106" s="4"/>
      <c r="G106" s="4"/>
      <c r="H106" s="4"/>
      <c r="I106" s="4"/>
      <c r="J106" s="4"/>
    </row>
    <row r="107" ht="15.75" customHeight="1">
      <c r="A107" s="4"/>
      <c r="B107" s="4"/>
      <c r="C107" s="4"/>
      <c r="D107" s="4"/>
      <c r="E107" s="260"/>
      <c r="F107" s="4"/>
      <c r="G107" s="4"/>
      <c r="H107" s="4"/>
      <c r="I107" s="4"/>
      <c r="J107" s="4"/>
    </row>
    <row r="108" ht="15.75" customHeight="1">
      <c r="A108" s="4"/>
      <c r="B108" s="4"/>
      <c r="C108" s="4"/>
      <c r="D108" s="4"/>
      <c r="E108" s="260"/>
      <c r="F108" s="4"/>
      <c r="G108" s="4"/>
      <c r="H108" s="4"/>
      <c r="I108" s="4"/>
      <c r="J108" s="4"/>
    </row>
    <row r="109" ht="15.75" customHeight="1">
      <c r="A109" s="4"/>
      <c r="B109" s="4"/>
      <c r="C109" s="4"/>
      <c r="D109" s="4"/>
      <c r="E109" s="260"/>
      <c r="F109" s="4"/>
      <c r="G109" s="4"/>
      <c r="H109" s="4"/>
      <c r="I109" s="4"/>
      <c r="J109" s="4"/>
    </row>
    <row r="110" ht="15.75" customHeight="1">
      <c r="A110" s="4"/>
      <c r="B110" s="4"/>
      <c r="C110" s="4"/>
      <c r="D110" s="4"/>
      <c r="E110" s="260"/>
      <c r="F110" s="4"/>
      <c r="G110" s="4"/>
      <c r="H110" s="4"/>
      <c r="I110" s="4"/>
      <c r="J110" s="4"/>
    </row>
    <row r="111" ht="15.75" customHeight="1">
      <c r="A111" s="4"/>
      <c r="B111" s="4"/>
      <c r="C111" s="4"/>
      <c r="D111" s="4"/>
      <c r="E111" s="260"/>
      <c r="F111" s="4"/>
      <c r="G111" s="4"/>
      <c r="H111" s="4"/>
      <c r="I111" s="4"/>
      <c r="J111" s="4"/>
    </row>
    <row r="112" ht="15.75" customHeight="1">
      <c r="A112" s="4"/>
      <c r="B112" s="4"/>
      <c r="C112" s="4"/>
      <c r="D112" s="4"/>
      <c r="E112" s="260"/>
      <c r="F112" s="4"/>
      <c r="G112" s="4"/>
      <c r="H112" s="4"/>
      <c r="I112" s="4"/>
      <c r="J112" s="4"/>
    </row>
    <row r="113" ht="15.75" customHeight="1">
      <c r="A113" s="4"/>
      <c r="B113" s="4"/>
      <c r="C113" s="4"/>
      <c r="D113" s="4"/>
      <c r="E113" s="260"/>
      <c r="F113" s="4"/>
      <c r="G113" s="4"/>
      <c r="H113" s="4"/>
      <c r="I113" s="4"/>
      <c r="J113" s="4"/>
    </row>
    <row r="114" ht="15.75" customHeight="1">
      <c r="A114" s="4"/>
      <c r="B114" s="4"/>
      <c r="C114" s="4"/>
      <c r="D114" s="4"/>
      <c r="E114" s="260"/>
      <c r="F114" s="4"/>
      <c r="G114" s="4"/>
      <c r="H114" s="4"/>
      <c r="I114" s="4"/>
      <c r="J114" s="4"/>
    </row>
    <row r="115" ht="15.75" customHeight="1">
      <c r="A115" s="4"/>
      <c r="B115" s="4"/>
      <c r="C115" s="4"/>
      <c r="D115" s="4"/>
      <c r="E115" s="260"/>
      <c r="F115" s="4"/>
      <c r="G115" s="4"/>
      <c r="H115" s="4"/>
      <c r="I115" s="4"/>
      <c r="J115" s="4"/>
    </row>
    <row r="116" ht="15.75" customHeight="1">
      <c r="A116" s="4"/>
      <c r="B116" s="4"/>
      <c r="C116" s="4"/>
      <c r="D116" s="4"/>
      <c r="E116" s="260"/>
      <c r="F116" s="4"/>
      <c r="G116" s="4"/>
      <c r="H116" s="4"/>
      <c r="I116" s="4"/>
      <c r="J116" s="4"/>
    </row>
    <row r="117" ht="15.75" customHeight="1">
      <c r="A117" s="4"/>
      <c r="B117" s="4"/>
      <c r="C117" s="4"/>
      <c r="D117" s="4"/>
      <c r="E117" s="260"/>
      <c r="F117" s="4"/>
      <c r="G117" s="4"/>
      <c r="H117" s="4"/>
      <c r="I117" s="4"/>
      <c r="J117" s="4"/>
    </row>
    <row r="118" ht="15.75" customHeight="1">
      <c r="A118" s="4"/>
      <c r="B118" s="4"/>
      <c r="C118" s="4"/>
      <c r="D118" s="4"/>
      <c r="E118" s="260"/>
      <c r="F118" s="4"/>
      <c r="G118" s="4"/>
      <c r="H118" s="4"/>
      <c r="I118" s="4"/>
      <c r="J118" s="4"/>
    </row>
    <row r="119" ht="15.75" customHeight="1">
      <c r="A119" s="4"/>
      <c r="B119" s="4"/>
      <c r="C119" s="4"/>
      <c r="D119" s="4"/>
      <c r="E119" s="260"/>
      <c r="F119" s="4"/>
      <c r="G119" s="4"/>
      <c r="H119" s="4"/>
      <c r="I119" s="4"/>
      <c r="J119" s="4"/>
    </row>
    <row r="120" ht="15.75" customHeight="1">
      <c r="A120" s="4"/>
      <c r="B120" s="4"/>
      <c r="C120" s="4"/>
      <c r="D120" s="4"/>
      <c r="E120" s="260"/>
      <c r="F120" s="4"/>
      <c r="G120" s="4"/>
      <c r="H120" s="4"/>
      <c r="I120" s="4"/>
      <c r="J120" s="4"/>
    </row>
    <row r="121" ht="15.75" customHeight="1">
      <c r="A121" s="4"/>
      <c r="B121" s="4"/>
      <c r="C121" s="4"/>
      <c r="D121" s="4"/>
      <c r="E121" s="260"/>
      <c r="F121" s="4"/>
      <c r="G121" s="4"/>
      <c r="H121" s="4"/>
      <c r="I121" s="4"/>
      <c r="J121" s="4"/>
    </row>
    <row r="122" ht="15.75" customHeight="1">
      <c r="A122" s="4"/>
      <c r="B122" s="4"/>
      <c r="C122" s="4"/>
      <c r="D122" s="4"/>
      <c r="E122" s="260"/>
      <c r="F122" s="4"/>
      <c r="G122" s="4"/>
      <c r="H122" s="4"/>
      <c r="I122" s="4"/>
      <c r="J122" s="4"/>
    </row>
    <row r="123" ht="15.75" customHeight="1">
      <c r="A123" s="4"/>
      <c r="B123" s="4"/>
      <c r="C123" s="4"/>
      <c r="D123" s="4"/>
      <c r="E123" s="260"/>
      <c r="F123" s="4"/>
      <c r="G123" s="4"/>
      <c r="H123" s="4"/>
      <c r="I123" s="4"/>
      <c r="J123" s="4"/>
    </row>
    <row r="124" ht="15.75" customHeight="1">
      <c r="A124" s="4"/>
      <c r="B124" s="4"/>
      <c r="C124" s="4"/>
      <c r="D124" s="4"/>
      <c r="E124" s="260"/>
      <c r="F124" s="4"/>
      <c r="G124" s="4"/>
      <c r="H124" s="4"/>
      <c r="I124" s="4"/>
      <c r="J124" s="4"/>
    </row>
    <row r="125" ht="15.75" customHeight="1">
      <c r="A125" s="4"/>
      <c r="B125" s="4"/>
      <c r="C125" s="4"/>
      <c r="D125" s="4"/>
      <c r="E125" s="260"/>
      <c r="F125" s="4"/>
      <c r="G125" s="4"/>
      <c r="H125" s="4"/>
      <c r="I125" s="4"/>
      <c r="J125" s="4"/>
    </row>
    <row r="126" ht="15.75" customHeight="1">
      <c r="A126" s="4"/>
      <c r="B126" s="4"/>
      <c r="C126" s="4"/>
      <c r="D126" s="4"/>
      <c r="E126" s="260"/>
      <c r="F126" s="4"/>
      <c r="G126" s="4"/>
      <c r="H126" s="4"/>
      <c r="I126" s="4"/>
      <c r="J126" s="4"/>
    </row>
    <row r="127" ht="15.75" customHeight="1">
      <c r="A127" s="4"/>
      <c r="B127" s="4"/>
      <c r="C127" s="4"/>
      <c r="D127" s="4"/>
      <c r="E127" s="260"/>
      <c r="F127" s="4"/>
      <c r="G127" s="4"/>
      <c r="H127" s="4"/>
      <c r="I127" s="4"/>
      <c r="J127" s="4"/>
    </row>
    <row r="128" ht="15.75" customHeight="1">
      <c r="A128" s="4"/>
      <c r="B128" s="4"/>
      <c r="C128" s="4"/>
      <c r="D128" s="4"/>
      <c r="E128" s="260"/>
      <c r="F128" s="4"/>
      <c r="G128" s="4"/>
      <c r="H128" s="4"/>
      <c r="I128" s="4"/>
      <c r="J128" s="4"/>
    </row>
    <row r="129" ht="15.75" customHeight="1">
      <c r="A129" s="4"/>
      <c r="B129" s="4"/>
      <c r="C129" s="4"/>
      <c r="D129" s="4"/>
      <c r="E129" s="260"/>
      <c r="F129" s="4"/>
      <c r="G129" s="4"/>
      <c r="H129" s="4"/>
      <c r="I129" s="4"/>
      <c r="J129" s="4"/>
    </row>
    <row r="130" ht="15.75" customHeight="1">
      <c r="A130" s="4"/>
      <c r="B130" s="4"/>
      <c r="C130" s="4"/>
      <c r="D130" s="4"/>
      <c r="E130" s="260"/>
      <c r="F130" s="4"/>
      <c r="G130" s="4"/>
      <c r="H130" s="4"/>
      <c r="I130" s="4"/>
      <c r="J130" s="4"/>
    </row>
    <row r="131" ht="15.75" customHeight="1">
      <c r="A131" s="4"/>
      <c r="B131" s="4"/>
      <c r="C131" s="4"/>
      <c r="D131" s="4"/>
      <c r="E131" s="260"/>
      <c r="F131" s="4"/>
      <c r="G131" s="4"/>
      <c r="H131" s="4"/>
      <c r="I131" s="4"/>
      <c r="J131" s="4"/>
    </row>
    <row r="132" ht="15.75" customHeight="1">
      <c r="A132" s="4"/>
      <c r="B132" s="4"/>
      <c r="C132" s="4"/>
      <c r="D132" s="4"/>
      <c r="E132" s="260"/>
      <c r="F132" s="4"/>
      <c r="G132" s="4"/>
      <c r="H132" s="4"/>
      <c r="I132" s="4"/>
      <c r="J132" s="4"/>
    </row>
    <row r="133" ht="15.75" customHeight="1">
      <c r="A133" s="4"/>
      <c r="B133" s="4"/>
      <c r="C133" s="4"/>
      <c r="D133" s="4"/>
      <c r="E133" s="260"/>
      <c r="F133" s="4"/>
      <c r="G133" s="4"/>
      <c r="H133" s="4"/>
      <c r="I133" s="4"/>
      <c r="J133" s="4"/>
    </row>
    <row r="134" ht="15.75" customHeight="1">
      <c r="A134" s="4"/>
      <c r="B134" s="4"/>
      <c r="C134" s="4"/>
      <c r="D134" s="4"/>
      <c r="E134" s="260"/>
      <c r="F134" s="4"/>
      <c r="G134" s="4"/>
      <c r="H134" s="4"/>
      <c r="I134" s="4"/>
      <c r="J134" s="4"/>
    </row>
    <row r="135" ht="15.75" customHeight="1">
      <c r="A135" s="4"/>
      <c r="B135" s="4"/>
      <c r="C135" s="4"/>
      <c r="D135" s="4"/>
      <c r="E135" s="260"/>
      <c r="F135" s="4"/>
      <c r="G135" s="4"/>
      <c r="H135" s="4"/>
      <c r="I135" s="4"/>
      <c r="J135" s="4"/>
    </row>
    <row r="136" ht="15.75" customHeight="1">
      <c r="A136" s="4"/>
      <c r="B136" s="4"/>
      <c r="C136" s="4"/>
      <c r="D136" s="4"/>
      <c r="E136" s="260"/>
      <c r="F136" s="4"/>
      <c r="G136" s="4"/>
      <c r="H136" s="4"/>
      <c r="I136" s="4"/>
      <c r="J136" s="4"/>
    </row>
    <row r="137" ht="15.75" customHeight="1">
      <c r="A137" s="4"/>
      <c r="B137" s="4"/>
      <c r="C137" s="4"/>
      <c r="D137" s="4"/>
      <c r="E137" s="260"/>
      <c r="F137" s="4"/>
      <c r="G137" s="4"/>
      <c r="H137" s="4"/>
      <c r="I137" s="4"/>
      <c r="J137" s="4"/>
    </row>
    <row r="138" ht="15.75" customHeight="1">
      <c r="A138" s="4"/>
      <c r="B138" s="4"/>
      <c r="C138" s="4"/>
      <c r="D138" s="4"/>
      <c r="E138" s="260"/>
      <c r="F138" s="4"/>
      <c r="G138" s="4"/>
      <c r="H138" s="4"/>
      <c r="I138" s="4"/>
      <c r="J138" s="4"/>
    </row>
    <row r="139" ht="15.75" customHeight="1">
      <c r="A139" s="4"/>
      <c r="B139" s="4"/>
      <c r="C139" s="4"/>
      <c r="D139" s="4"/>
      <c r="E139" s="260"/>
      <c r="F139" s="4"/>
      <c r="G139" s="4"/>
      <c r="H139" s="4"/>
      <c r="I139" s="4"/>
      <c r="J139" s="4"/>
    </row>
    <row r="140" ht="15.75" customHeight="1">
      <c r="A140" s="4"/>
      <c r="B140" s="4"/>
      <c r="C140" s="4"/>
      <c r="D140" s="4"/>
      <c r="E140" s="260"/>
      <c r="F140" s="4"/>
      <c r="G140" s="4"/>
      <c r="H140" s="4"/>
      <c r="I140" s="4"/>
      <c r="J140" s="4"/>
    </row>
    <row r="141" ht="15.75" customHeight="1">
      <c r="A141" s="4"/>
      <c r="B141" s="4"/>
      <c r="C141" s="4"/>
      <c r="D141" s="4"/>
      <c r="E141" s="260"/>
      <c r="F141" s="4"/>
      <c r="G141" s="4"/>
      <c r="H141" s="4"/>
      <c r="I141" s="4"/>
      <c r="J141" s="4"/>
    </row>
    <row r="142" ht="15.75" customHeight="1">
      <c r="A142" s="4"/>
      <c r="B142" s="4"/>
      <c r="C142" s="4"/>
      <c r="D142" s="4"/>
      <c r="E142" s="260"/>
      <c r="F142" s="4"/>
      <c r="G142" s="4"/>
      <c r="H142" s="4"/>
      <c r="I142" s="4"/>
      <c r="J142" s="4"/>
    </row>
    <row r="143" ht="15.75" customHeight="1">
      <c r="A143" s="4"/>
      <c r="B143" s="4"/>
      <c r="C143" s="4"/>
      <c r="D143" s="4"/>
      <c r="E143" s="260"/>
      <c r="F143" s="4"/>
      <c r="G143" s="4"/>
      <c r="H143" s="4"/>
      <c r="I143" s="4"/>
      <c r="J143" s="4"/>
    </row>
    <row r="144" ht="15.75" customHeight="1">
      <c r="A144" s="4"/>
      <c r="B144" s="4"/>
      <c r="C144" s="4"/>
      <c r="D144" s="4"/>
      <c r="E144" s="260"/>
      <c r="F144" s="4"/>
      <c r="G144" s="4"/>
      <c r="H144" s="4"/>
      <c r="I144" s="4"/>
      <c r="J144" s="4"/>
    </row>
    <row r="145" ht="15.75" customHeight="1">
      <c r="A145" s="4"/>
      <c r="B145" s="4"/>
      <c r="C145" s="4"/>
      <c r="D145" s="4"/>
      <c r="E145" s="260"/>
      <c r="F145" s="4"/>
      <c r="G145" s="4"/>
      <c r="H145" s="4"/>
      <c r="I145" s="4"/>
      <c r="J145" s="4"/>
    </row>
    <row r="146" ht="15.75" customHeight="1">
      <c r="A146" s="4"/>
      <c r="B146" s="4"/>
      <c r="C146" s="4"/>
      <c r="D146" s="4"/>
      <c r="E146" s="260"/>
      <c r="F146" s="4"/>
      <c r="G146" s="4"/>
      <c r="H146" s="4"/>
      <c r="I146" s="4"/>
      <c r="J146" s="4"/>
    </row>
    <row r="147" ht="15.75" customHeight="1">
      <c r="A147" s="4"/>
      <c r="B147" s="4"/>
      <c r="C147" s="4"/>
      <c r="D147" s="4"/>
      <c r="E147" s="260"/>
      <c r="F147" s="4"/>
      <c r="G147" s="4"/>
      <c r="H147" s="4"/>
      <c r="I147" s="4"/>
      <c r="J147" s="4"/>
    </row>
    <row r="148" ht="15.75" customHeight="1">
      <c r="A148" s="4"/>
      <c r="B148" s="4"/>
      <c r="C148" s="4"/>
      <c r="D148" s="4"/>
      <c r="E148" s="260"/>
      <c r="F148" s="4"/>
      <c r="G148" s="4"/>
      <c r="H148" s="4"/>
      <c r="I148" s="4"/>
      <c r="J148" s="4"/>
    </row>
    <row r="149" ht="15.75" customHeight="1">
      <c r="A149" s="4"/>
      <c r="B149" s="4"/>
      <c r="C149" s="4"/>
      <c r="D149" s="4"/>
      <c r="E149" s="260"/>
      <c r="F149" s="4"/>
      <c r="G149" s="4"/>
      <c r="H149" s="4"/>
      <c r="I149" s="4"/>
      <c r="J149" s="4"/>
    </row>
    <row r="150" ht="15.75" customHeight="1">
      <c r="A150" s="4"/>
      <c r="B150" s="4"/>
      <c r="C150" s="4"/>
      <c r="D150" s="4"/>
      <c r="E150" s="260"/>
      <c r="F150" s="4"/>
      <c r="G150" s="4"/>
      <c r="H150" s="4"/>
      <c r="I150" s="4"/>
      <c r="J150" s="4"/>
    </row>
    <row r="151" ht="15.75" customHeight="1">
      <c r="A151" s="4"/>
      <c r="B151" s="4"/>
      <c r="C151" s="4"/>
      <c r="D151" s="4"/>
      <c r="E151" s="260"/>
      <c r="F151" s="4"/>
      <c r="G151" s="4"/>
      <c r="H151" s="4"/>
      <c r="I151" s="4"/>
      <c r="J151" s="4"/>
    </row>
    <row r="152" ht="15.75" customHeight="1">
      <c r="A152" s="4"/>
      <c r="B152" s="4"/>
      <c r="C152" s="4"/>
      <c r="D152" s="4"/>
      <c r="E152" s="260"/>
      <c r="F152" s="4"/>
      <c r="G152" s="4"/>
      <c r="H152" s="4"/>
      <c r="I152" s="4"/>
      <c r="J152" s="4"/>
    </row>
    <row r="153" ht="15.75" customHeight="1">
      <c r="A153" s="4"/>
      <c r="B153" s="4"/>
      <c r="C153" s="4"/>
      <c r="D153" s="4"/>
      <c r="E153" s="260"/>
      <c r="F153" s="4"/>
      <c r="G153" s="4"/>
      <c r="H153" s="4"/>
      <c r="I153" s="4"/>
      <c r="J153" s="4"/>
    </row>
    <row r="154" ht="15.75" customHeight="1">
      <c r="A154" s="4"/>
      <c r="B154" s="4"/>
      <c r="C154" s="4"/>
      <c r="D154" s="4"/>
      <c r="E154" s="260"/>
      <c r="F154" s="4"/>
      <c r="G154" s="4"/>
      <c r="H154" s="4"/>
      <c r="I154" s="4"/>
      <c r="J154" s="4"/>
    </row>
    <row r="155" ht="15.75" customHeight="1">
      <c r="A155" s="4"/>
      <c r="B155" s="4"/>
      <c r="C155" s="4"/>
      <c r="D155" s="4"/>
      <c r="E155" s="260"/>
      <c r="F155" s="4"/>
      <c r="G155" s="4"/>
      <c r="H155" s="4"/>
      <c r="I155" s="4"/>
      <c r="J155" s="4"/>
    </row>
    <row r="156" ht="15.75" customHeight="1">
      <c r="A156" s="4"/>
      <c r="B156" s="4"/>
      <c r="C156" s="4"/>
      <c r="D156" s="4"/>
      <c r="E156" s="260"/>
      <c r="F156" s="4"/>
      <c r="G156" s="4"/>
      <c r="H156" s="4"/>
      <c r="I156" s="4"/>
      <c r="J156" s="4"/>
    </row>
    <row r="157" ht="15.75" customHeight="1">
      <c r="A157" s="4"/>
      <c r="B157" s="4"/>
      <c r="C157" s="4"/>
      <c r="D157" s="4"/>
      <c r="E157" s="260"/>
      <c r="F157" s="4"/>
      <c r="G157" s="4"/>
      <c r="H157" s="4"/>
      <c r="I157" s="4"/>
      <c r="J157" s="4"/>
    </row>
    <row r="158" ht="15.75" customHeight="1">
      <c r="A158" s="4"/>
      <c r="B158" s="4"/>
      <c r="C158" s="4"/>
      <c r="D158" s="4"/>
      <c r="E158" s="260"/>
      <c r="F158" s="4"/>
      <c r="G158" s="4"/>
      <c r="H158" s="4"/>
      <c r="I158" s="4"/>
      <c r="J158" s="4"/>
    </row>
    <row r="159" ht="15.75" customHeight="1">
      <c r="A159" s="4"/>
      <c r="B159" s="4"/>
      <c r="C159" s="4"/>
      <c r="D159" s="4"/>
      <c r="E159" s="260"/>
      <c r="F159" s="4"/>
      <c r="G159" s="4"/>
      <c r="H159" s="4"/>
      <c r="I159" s="4"/>
      <c r="J159" s="4"/>
    </row>
    <row r="160" ht="15.75" customHeight="1">
      <c r="A160" s="4"/>
      <c r="B160" s="4"/>
      <c r="C160" s="4"/>
      <c r="D160" s="4"/>
      <c r="E160" s="260"/>
      <c r="F160" s="4"/>
      <c r="G160" s="4"/>
      <c r="H160" s="4"/>
      <c r="I160" s="4"/>
      <c r="J160" s="4"/>
    </row>
    <row r="161" ht="15.75" customHeight="1">
      <c r="A161" s="4"/>
      <c r="B161" s="4"/>
      <c r="C161" s="4"/>
      <c r="D161" s="4"/>
      <c r="E161" s="260"/>
      <c r="F161" s="4"/>
      <c r="G161" s="4"/>
      <c r="H161" s="4"/>
      <c r="I161" s="4"/>
      <c r="J161" s="4"/>
    </row>
    <row r="162" ht="15.75" customHeight="1">
      <c r="A162" s="4"/>
      <c r="B162" s="4"/>
      <c r="C162" s="4"/>
      <c r="D162" s="4"/>
      <c r="E162" s="260"/>
      <c r="F162" s="4"/>
      <c r="G162" s="4"/>
      <c r="H162" s="4"/>
      <c r="I162" s="4"/>
      <c r="J162" s="4"/>
    </row>
    <row r="163" ht="15.75" customHeight="1">
      <c r="A163" s="4"/>
      <c r="B163" s="4"/>
      <c r="C163" s="4"/>
      <c r="D163" s="4"/>
      <c r="E163" s="260"/>
      <c r="F163" s="4"/>
      <c r="G163" s="4"/>
      <c r="H163" s="4"/>
      <c r="I163" s="4"/>
      <c r="J163" s="4"/>
    </row>
    <row r="164" ht="15.75" customHeight="1">
      <c r="A164" s="4"/>
      <c r="B164" s="4"/>
      <c r="C164" s="4"/>
      <c r="D164" s="4"/>
      <c r="E164" s="260"/>
      <c r="F164" s="4"/>
      <c r="G164" s="4"/>
      <c r="H164" s="4"/>
      <c r="I164" s="4"/>
      <c r="J164" s="4"/>
    </row>
    <row r="165" ht="15.75" customHeight="1">
      <c r="A165" s="4"/>
      <c r="B165" s="4"/>
      <c r="C165" s="4"/>
      <c r="D165" s="4"/>
      <c r="E165" s="260"/>
      <c r="F165" s="4"/>
      <c r="G165" s="4"/>
      <c r="H165" s="4"/>
      <c r="I165" s="4"/>
      <c r="J165" s="4"/>
    </row>
    <row r="166" ht="15.75" customHeight="1">
      <c r="A166" s="4"/>
      <c r="B166" s="4"/>
      <c r="C166" s="4"/>
      <c r="D166" s="4"/>
      <c r="E166" s="260"/>
      <c r="F166" s="4"/>
      <c r="G166" s="4"/>
      <c r="H166" s="4"/>
      <c r="I166" s="4"/>
      <c r="J166" s="4"/>
    </row>
    <row r="167" ht="15.75" customHeight="1">
      <c r="A167" s="4"/>
      <c r="B167" s="4"/>
      <c r="C167" s="4"/>
      <c r="D167" s="4"/>
      <c r="E167" s="260"/>
      <c r="F167" s="4"/>
      <c r="G167" s="4"/>
      <c r="H167" s="4"/>
      <c r="I167" s="4"/>
      <c r="J167" s="4"/>
    </row>
    <row r="168" ht="15.75" customHeight="1">
      <c r="A168" s="4"/>
      <c r="B168" s="4"/>
      <c r="C168" s="4"/>
      <c r="D168" s="4"/>
      <c r="E168" s="260"/>
      <c r="F168" s="4"/>
      <c r="G168" s="4"/>
      <c r="H168" s="4"/>
      <c r="I168" s="4"/>
      <c r="J168" s="4"/>
    </row>
    <row r="169" ht="15.75" customHeight="1">
      <c r="A169" s="4"/>
      <c r="B169" s="4"/>
      <c r="C169" s="4"/>
      <c r="D169" s="4"/>
      <c r="E169" s="260"/>
      <c r="F169" s="4"/>
      <c r="G169" s="4"/>
      <c r="H169" s="4"/>
      <c r="I169" s="4"/>
      <c r="J169" s="4"/>
    </row>
    <row r="170" ht="15.75" customHeight="1">
      <c r="A170" s="4"/>
      <c r="B170" s="4"/>
      <c r="C170" s="4"/>
      <c r="D170" s="4"/>
      <c r="E170" s="260"/>
      <c r="F170" s="4"/>
      <c r="G170" s="4"/>
      <c r="H170" s="4"/>
      <c r="I170" s="4"/>
      <c r="J170" s="4"/>
    </row>
    <row r="171" ht="15.75" customHeight="1">
      <c r="A171" s="4"/>
      <c r="B171" s="4"/>
      <c r="C171" s="4"/>
      <c r="D171" s="4"/>
      <c r="E171" s="260"/>
      <c r="F171" s="4"/>
      <c r="G171" s="4"/>
      <c r="H171" s="4"/>
      <c r="I171" s="4"/>
      <c r="J171" s="4"/>
    </row>
    <row r="172" ht="15.75" customHeight="1">
      <c r="A172" s="4"/>
      <c r="B172" s="4"/>
      <c r="C172" s="4"/>
      <c r="D172" s="4"/>
      <c r="E172" s="260"/>
      <c r="F172" s="4"/>
      <c r="G172" s="4"/>
      <c r="H172" s="4"/>
      <c r="I172" s="4"/>
      <c r="J172" s="4"/>
    </row>
    <row r="173" ht="15.75" customHeight="1">
      <c r="A173" s="4"/>
      <c r="B173" s="4"/>
      <c r="C173" s="4"/>
      <c r="D173" s="4"/>
      <c r="E173" s="260"/>
      <c r="F173" s="4"/>
      <c r="G173" s="4"/>
      <c r="H173" s="4"/>
      <c r="I173" s="4"/>
      <c r="J173" s="4"/>
    </row>
    <row r="174" ht="15.75" customHeight="1">
      <c r="A174" s="4"/>
      <c r="B174" s="4"/>
      <c r="C174" s="4"/>
      <c r="D174" s="4"/>
      <c r="E174" s="260"/>
      <c r="F174" s="4"/>
      <c r="G174" s="4"/>
      <c r="H174" s="4"/>
      <c r="I174" s="4"/>
      <c r="J174" s="4"/>
    </row>
    <row r="175" ht="15.75" customHeight="1">
      <c r="A175" s="4"/>
      <c r="B175" s="4"/>
      <c r="C175" s="4"/>
      <c r="D175" s="4"/>
      <c r="E175" s="260"/>
      <c r="F175" s="4"/>
      <c r="G175" s="4"/>
      <c r="H175" s="4"/>
      <c r="I175" s="4"/>
      <c r="J175" s="4"/>
    </row>
    <row r="176" ht="15.75" customHeight="1">
      <c r="A176" s="4"/>
      <c r="B176" s="4"/>
      <c r="C176" s="4"/>
      <c r="D176" s="4"/>
      <c r="E176" s="260"/>
      <c r="F176" s="4"/>
      <c r="G176" s="4"/>
      <c r="H176" s="4"/>
      <c r="I176" s="4"/>
      <c r="J176" s="4"/>
    </row>
    <row r="177" ht="15.75" customHeight="1">
      <c r="A177" s="4"/>
      <c r="B177" s="4"/>
      <c r="C177" s="4"/>
      <c r="D177" s="4"/>
      <c r="E177" s="260"/>
      <c r="F177" s="4"/>
      <c r="G177" s="4"/>
      <c r="H177" s="4"/>
      <c r="I177" s="4"/>
      <c r="J177" s="4"/>
    </row>
    <row r="178" ht="15.75" customHeight="1">
      <c r="A178" s="4"/>
      <c r="B178" s="4"/>
      <c r="C178" s="4"/>
      <c r="D178" s="4"/>
      <c r="E178" s="260"/>
      <c r="F178" s="4"/>
      <c r="G178" s="4"/>
      <c r="H178" s="4"/>
      <c r="I178" s="4"/>
      <c r="J178" s="4"/>
    </row>
    <row r="179" ht="15.75" customHeight="1">
      <c r="A179" s="4"/>
      <c r="B179" s="4"/>
      <c r="C179" s="4"/>
      <c r="D179" s="4"/>
      <c r="E179" s="260"/>
      <c r="F179" s="4"/>
      <c r="G179" s="4"/>
      <c r="H179" s="4"/>
      <c r="I179" s="4"/>
      <c r="J179" s="4"/>
    </row>
    <row r="180" ht="15.75" customHeight="1">
      <c r="A180" s="4"/>
      <c r="B180" s="4"/>
      <c r="C180" s="4"/>
      <c r="D180" s="4"/>
      <c r="E180" s="260"/>
      <c r="F180" s="4"/>
      <c r="G180" s="4"/>
      <c r="H180" s="4"/>
      <c r="I180" s="4"/>
      <c r="J180" s="4"/>
    </row>
    <row r="181" ht="15.75" customHeight="1">
      <c r="A181" s="4"/>
      <c r="B181" s="4"/>
      <c r="C181" s="4"/>
      <c r="D181" s="4"/>
      <c r="E181" s="260"/>
      <c r="F181" s="4"/>
      <c r="G181" s="4"/>
      <c r="H181" s="4"/>
      <c r="I181" s="4"/>
      <c r="J181" s="4"/>
    </row>
    <row r="182" ht="15.75" customHeight="1">
      <c r="A182" s="4"/>
      <c r="B182" s="4"/>
      <c r="C182" s="4"/>
      <c r="D182" s="4"/>
      <c r="E182" s="260"/>
      <c r="F182" s="4"/>
      <c r="G182" s="4"/>
      <c r="H182" s="4"/>
      <c r="I182" s="4"/>
      <c r="J182" s="4"/>
    </row>
    <row r="183" ht="15.75" customHeight="1">
      <c r="A183" s="4"/>
      <c r="B183" s="4"/>
      <c r="C183" s="4"/>
      <c r="D183" s="4"/>
      <c r="E183" s="260"/>
      <c r="F183" s="4"/>
      <c r="G183" s="4"/>
      <c r="H183" s="4"/>
      <c r="I183" s="4"/>
      <c r="J183" s="4"/>
    </row>
    <row r="184" ht="15.75" customHeight="1">
      <c r="A184" s="4"/>
      <c r="B184" s="4"/>
      <c r="C184" s="4"/>
      <c r="D184" s="4"/>
      <c r="E184" s="260"/>
      <c r="F184" s="4"/>
      <c r="G184" s="4"/>
      <c r="H184" s="4"/>
      <c r="I184" s="4"/>
      <c r="J184" s="4"/>
    </row>
    <row r="185" ht="15.75" customHeight="1">
      <c r="A185" s="4"/>
      <c r="B185" s="4"/>
      <c r="C185" s="4"/>
      <c r="D185" s="4"/>
      <c r="E185" s="260"/>
      <c r="F185" s="4"/>
      <c r="G185" s="4"/>
      <c r="H185" s="4"/>
      <c r="I185" s="4"/>
      <c r="J185" s="4"/>
    </row>
    <row r="186" ht="15.75" customHeight="1">
      <c r="A186" s="4"/>
      <c r="B186" s="4"/>
      <c r="C186" s="4"/>
      <c r="D186" s="4"/>
      <c r="E186" s="260"/>
      <c r="F186" s="4"/>
      <c r="G186" s="4"/>
      <c r="H186" s="4"/>
      <c r="I186" s="4"/>
      <c r="J186" s="4"/>
    </row>
    <row r="187" ht="15.75" customHeight="1">
      <c r="A187" s="4"/>
      <c r="B187" s="4"/>
      <c r="C187" s="4"/>
      <c r="D187" s="4"/>
      <c r="E187" s="260"/>
      <c r="F187" s="4"/>
      <c r="G187" s="4"/>
      <c r="H187" s="4"/>
      <c r="I187" s="4"/>
      <c r="J187" s="4"/>
    </row>
    <row r="188" ht="15.75" customHeight="1">
      <c r="A188" s="4"/>
      <c r="B188" s="4"/>
      <c r="C188" s="4"/>
      <c r="D188" s="4"/>
      <c r="E188" s="260"/>
      <c r="F188" s="4"/>
      <c r="G188" s="4"/>
      <c r="H188" s="4"/>
      <c r="I188" s="4"/>
      <c r="J188" s="4"/>
    </row>
    <row r="189" ht="15.75" customHeight="1">
      <c r="A189" s="4"/>
      <c r="B189" s="4"/>
      <c r="C189" s="4"/>
      <c r="D189" s="4"/>
      <c r="E189" s="260"/>
      <c r="F189" s="4"/>
      <c r="G189" s="4"/>
      <c r="H189" s="4"/>
      <c r="I189" s="4"/>
      <c r="J189" s="4"/>
    </row>
    <row r="190" ht="15.75" customHeight="1">
      <c r="A190" s="4"/>
      <c r="B190" s="4"/>
      <c r="C190" s="4"/>
      <c r="D190" s="4"/>
      <c r="E190" s="260"/>
      <c r="F190" s="4"/>
      <c r="G190" s="4"/>
      <c r="H190" s="4"/>
      <c r="I190" s="4"/>
      <c r="J190" s="4"/>
    </row>
    <row r="191" ht="15.75" customHeight="1">
      <c r="A191" s="4"/>
      <c r="B191" s="4"/>
      <c r="C191" s="4"/>
      <c r="D191" s="4"/>
      <c r="E191" s="260"/>
      <c r="F191" s="4"/>
      <c r="G191" s="4"/>
      <c r="H191" s="4"/>
      <c r="I191" s="4"/>
      <c r="J191" s="4"/>
    </row>
    <row r="192" ht="15.75" customHeight="1">
      <c r="A192" s="4"/>
      <c r="B192" s="4"/>
      <c r="C192" s="4"/>
      <c r="D192" s="4"/>
      <c r="E192" s="260"/>
      <c r="F192" s="4"/>
      <c r="G192" s="4"/>
      <c r="H192" s="4"/>
      <c r="I192" s="4"/>
      <c r="J192" s="4"/>
    </row>
    <row r="193" ht="15.75" customHeight="1">
      <c r="A193" s="4"/>
      <c r="B193" s="4"/>
      <c r="C193" s="4"/>
      <c r="D193" s="4"/>
      <c r="E193" s="260"/>
      <c r="F193" s="4"/>
      <c r="G193" s="4"/>
      <c r="H193" s="4"/>
      <c r="I193" s="4"/>
      <c r="J193" s="4"/>
    </row>
    <row r="194" ht="15.75" customHeight="1">
      <c r="A194" s="4"/>
      <c r="B194" s="4"/>
      <c r="C194" s="4"/>
      <c r="D194" s="4"/>
      <c r="E194" s="260"/>
      <c r="F194" s="4"/>
      <c r="G194" s="4"/>
      <c r="H194" s="4"/>
      <c r="I194" s="4"/>
      <c r="J194" s="4"/>
    </row>
    <row r="195" ht="15.75" customHeight="1">
      <c r="A195" s="4"/>
      <c r="B195" s="4"/>
      <c r="C195" s="4"/>
      <c r="D195" s="4"/>
      <c r="E195" s="260"/>
      <c r="F195" s="4"/>
      <c r="G195" s="4"/>
      <c r="H195" s="4"/>
      <c r="I195" s="4"/>
      <c r="J195" s="4"/>
    </row>
    <row r="196" ht="15.75" customHeight="1">
      <c r="A196" s="4"/>
      <c r="B196" s="4"/>
      <c r="C196" s="4"/>
      <c r="D196" s="4"/>
      <c r="E196" s="260"/>
      <c r="F196" s="4"/>
      <c r="G196" s="4"/>
      <c r="H196" s="4"/>
      <c r="I196" s="4"/>
      <c r="J196" s="4"/>
    </row>
    <row r="197" ht="15.75" customHeight="1">
      <c r="A197" s="4"/>
      <c r="B197" s="4"/>
      <c r="C197" s="4"/>
      <c r="D197" s="4"/>
      <c r="E197" s="260"/>
      <c r="F197" s="4"/>
      <c r="G197" s="4"/>
      <c r="H197" s="4"/>
      <c r="I197" s="4"/>
      <c r="J197" s="4"/>
    </row>
    <row r="198" ht="15.75" customHeight="1">
      <c r="A198" s="4"/>
      <c r="B198" s="4"/>
      <c r="C198" s="4"/>
      <c r="D198" s="4"/>
      <c r="E198" s="260"/>
      <c r="F198" s="4"/>
      <c r="G198" s="4"/>
      <c r="H198" s="4"/>
      <c r="I198" s="4"/>
      <c r="J198" s="4"/>
    </row>
    <row r="199" ht="15.75" customHeight="1">
      <c r="A199" s="4"/>
      <c r="B199" s="4"/>
      <c r="C199" s="4"/>
      <c r="D199" s="4"/>
      <c r="E199" s="260"/>
      <c r="F199" s="4"/>
      <c r="G199" s="4"/>
      <c r="H199" s="4"/>
      <c r="I199" s="4"/>
      <c r="J199" s="4"/>
    </row>
    <row r="200" ht="15.75" customHeight="1">
      <c r="A200" s="4"/>
      <c r="B200" s="4"/>
      <c r="C200" s="4"/>
      <c r="D200" s="4"/>
      <c r="E200" s="260"/>
      <c r="F200" s="4"/>
      <c r="G200" s="4"/>
      <c r="H200" s="4"/>
      <c r="I200" s="4"/>
      <c r="J200" s="4"/>
    </row>
    <row r="201" ht="15.75" customHeight="1">
      <c r="A201" s="4"/>
      <c r="B201" s="4"/>
      <c r="C201" s="4"/>
      <c r="D201" s="4"/>
      <c r="E201" s="260"/>
      <c r="F201" s="4"/>
      <c r="G201" s="4"/>
      <c r="H201" s="4"/>
      <c r="I201" s="4"/>
      <c r="J201" s="4"/>
    </row>
    <row r="202" ht="15.75" customHeight="1">
      <c r="A202" s="4"/>
      <c r="B202" s="4"/>
      <c r="C202" s="4"/>
      <c r="D202" s="4"/>
      <c r="E202" s="260"/>
      <c r="F202" s="4"/>
      <c r="G202" s="4"/>
      <c r="H202" s="4"/>
      <c r="I202" s="4"/>
      <c r="J202" s="4"/>
    </row>
    <row r="203" ht="15.75" customHeight="1">
      <c r="A203" s="4"/>
      <c r="B203" s="4"/>
      <c r="C203" s="4"/>
      <c r="D203" s="4"/>
      <c r="E203" s="260"/>
      <c r="F203" s="4"/>
      <c r="G203" s="4"/>
      <c r="H203" s="4"/>
      <c r="I203" s="4"/>
      <c r="J203" s="4"/>
    </row>
    <row r="204" ht="15.75" customHeight="1">
      <c r="A204" s="4"/>
      <c r="B204" s="4"/>
      <c r="C204" s="4"/>
      <c r="D204" s="4"/>
      <c r="E204" s="260"/>
      <c r="F204" s="4"/>
      <c r="G204" s="4"/>
      <c r="H204" s="4"/>
      <c r="I204" s="4"/>
      <c r="J204" s="4"/>
    </row>
    <row r="205" ht="15.75" customHeight="1">
      <c r="A205" s="4"/>
      <c r="B205" s="4"/>
      <c r="C205" s="4"/>
      <c r="D205" s="4"/>
      <c r="E205" s="260"/>
      <c r="F205" s="4"/>
      <c r="G205" s="4"/>
      <c r="H205" s="4"/>
      <c r="I205" s="4"/>
      <c r="J205" s="4"/>
    </row>
    <row r="206" ht="15.75" customHeight="1">
      <c r="A206" s="4"/>
      <c r="B206" s="4"/>
      <c r="C206" s="4"/>
      <c r="D206" s="4"/>
      <c r="E206" s="260"/>
      <c r="F206" s="4"/>
      <c r="G206" s="4"/>
      <c r="H206" s="4"/>
      <c r="I206" s="4"/>
      <c r="J206" s="4"/>
    </row>
    <row r="207" ht="15.75" customHeight="1">
      <c r="A207" s="4"/>
      <c r="B207" s="4"/>
      <c r="C207" s="4"/>
      <c r="D207" s="4"/>
      <c r="E207" s="260"/>
      <c r="F207" s="4"/>
      <c r="G207" s="4"/>
      <c r="H207" s="4"/>
      <c r="I207" s="4"/>
      <c r="J207" s="4"/>
    </row>
    <row r="208" ht="15.75" customHeight="1">
      <c r="A208" s="4"/>
      <c r="B208" s="4"/>
      <c r="C208" s="4"/>
      <c r="D208" s="4"/>
      <c r="E208" s="260"/>
      <c r="F208" s="4"/>
      <c r="G208" s="4"/>
      <c r="H208" s="4"/>
      <c r="I208" s="4"/>
      <c r="J208" s="4"/>
    </row>
    <row r="209" ht="15.75" customHeight="1">
      <c r="A209" s="4"/>
      <c r="B209" s="4"/>
      <c r="C209" s="4"/>
      <c r="D209" s="4"/>
      <c r="E209" s="260"/>
      <c r="F209" s="4"/>
      <c r="G209" s="4"/>
      <c r="H209" s="4"/>
      <c r="I209" s="4"/>
      <c r="J209" s="4"/>
    </row>
    <row r="210" ht="15.75" customHeight="1">
      <c r="A210" s="4"/>
      <c r="B210" s="4"/>
      <c r="C210" s="4"/>
      <c r="D210" s="4"/>
      <c r="E210" s="260"/>
      <c r="F210" s="4"/>
      <c r="G210" s="4"/>
      <c r="H210" s="4"/>
      <c r="I210" s="4"/>
      <c r="J210" s="4"/>
    </row>
    <row r="211" ht="15.75" customHeight="1">
      <c r="A211" s="4"/>
      <c r="B211" s="4"/>
      <c r="C211" s="4"/>
      <c r="D211" s="4"/>
      <c r="E211" s="260"/>
      <c r="F211" s="4"/>
      <c r="G211" s="4"/>
      <c r="H211" s="4"/>
      <c r="I211" s="4"/>
      <c r="J211" s="4"/>
    </row>
    <row r="212" ht="15.75" customHeight="1">
      <c r="A212" s="4"/>
      <c r="B212" s="4"/>
      <c r="C212" s="4"/>
      <c r="D212" s="4"/>
      <c r="E212" s="260"/>
      <c r="F212" s="4"/>
      <c r="G212" s="4"/>
      <c r="H212" s="4"/>
      <c r="I212" s="4"/>
      <c r="J212" s="4"/>
    </row>
    <row r="213" ht="15.75" customHeight="1">
      <c r="A213" s="4"/>
      <c r="B213" s="4"/>
      <c r="C213" s="4"/>
      <c r="D213" s="4"/>
      <c r="E213" s="260"/>
      <c r="F213" s="4"/>
      <c r="G213" s="4"/>
      <c r="H213" s="4"/>
      <c r="I213" s="4"/>
      <c r="J213" s="4"/>
    </row>
    <row r="214" ht="15.75" customHeight="1">
      <c r="A214" s="4"/>
      <c r="B214" s="4"/>
      <c r="C214" s="4"/>
      <c r="D214" s="4"/>
      <c r="E214" s="260"/>
      <c r="F214" s="4"/>
      <c r="G214" s="4"/>
      <c r="H214" s="4"/>
      <c r="I214" s="4"/>
      <c r="J214" s="4"/>
    </row>
    <row r="215" ht="15.75" customHeight="1">
      <c r="A215" s="4"/>
      <c r="B215" s="4"/>
      <c r="C215" s="4"/>
      <c r="D215" s="4"/>
      <c r="E215" s="260"/>
      <c r="F215" s="4"/>
      <c r="G215" s="4"/>
      <c r="H215" s="4"/>
      <c r="I215" s="4"/>
      <c r="J215" s="4"/>
    </row>
    <row r="216" ht="15.75" customHeight="1">
      <c r="A216" s="4"/>
      <c r="B216" s="4"/>
      <c r="C216" s="4"/>
      <c r="D216" s="4"/>
      <c r="E216" s="260"/>
      <c r="F216" s="4"/>
      <c r="G216" s="4"/>
      <c r="H216" s="4"/>
      <c r="I216" s="4"/>
      <c r="J216" s="4"/>
    </row>
    <row r="217" ht="15.75" customHeight="1">
      <c r="A217" s="4"/>
      <c r="B217" s="4"/>
      <c r="C217" s="4"/>
      <c r="D217" s="4"/>
      <c r="E217" s="260"/>
      <c r="F217" s="4"/>
      <c r="G217" s="4"/>
      <c r="H217" s="4"/>
      <c r="I217" s="4"/>
      <c r="J217" s="4"/>
    </row>
    <row r="218" ht="15.75" customHeight="1">
      <c r="A218" s="4"/>
      <c r="B218" s="4"/>
      <c r="C218" s="4"/>
      <c r="D218" s="4"/>
      <c r="E218" s="260"/>
      <c r="F218" s="4"/>
      <c r="G218" s="4"/>
      <c r="H218" s="4"/>
      <c r="I218" s="4"/>
      <c r="J218" s="4"/>
    </row>
    <row r="219" ht="15.75" customHeight="1">
      <c r="A219" s="4"/>
      <c r="B219" s="4"/>
      <c r="C219" s="4"/>
      <c r="D219" s="4"/>
      <c r="E219" s="260"/>
      <c r="F219" s="4"/>
      <c r="G219" s="4"/>
      <c r="H219" s="4"/>
      <c r="I219" s="4"/>
      <c r="J219" s="4"/>
    </row>
    <row r="220" ht="15.75" customHeight="1">
      <c r="A220" s="4"/>
      <c r="B220" s="4"/>
      <c r="C220" s="4"/>
      <c r="D220" s="4"/>
      <c r="E220" s="260"/>
      <c r="F220" s="4"/>
      <c r="G220" s="4"/>
      <c r="H220" s="4"/>
      <c r="I220" s="4"/>
      <c r="J220" s="4"/>
    </row>
    <row r="221" ht="15.75" customHeight="1">
      <c r="A221" s="4"/>
      <c r="B221" s="4"/>
      <c r="C221" s="4"/>
      <c r="D221" s="4"/>
      <c r="E221" s="260"/>
      <c r="F221" s="4"/>
      <c r="G221" s="4"/>
      <c r="H221" s="4"/>
      <c r="I221" s="4"/>
      <c r="J221" s="4"/>
    </row>
    <row r="222" ht="15.75" customHeight="1">
      <c r="A222" s="4"/>
      <c r="B222" s="4"/>
      <c r="C222" s="4"/>
      <c r="D222" s="4"/>
      <c r="E222" s="260"/>
      <c r="F222" s="4"/>
      <c r="G222" s="4"/>
      <c r="H222" s="4"/>
      <c r="I222" s="4"/>
      <c r="J222" s="4"/>
    </row>
    <row r="223" ht="15.75" customHeight="1">
      <c r="A223" s="4"/>
      <c r="B223" s="4"/>
      <c r="C223" s="4"/>
      <c r="D223" s="4"/>
      <c r="E223" s="260"/>
      <c r="F223" s="4"/>
      <c r="G223" s="4"/>
      <c r="H223" s="4"/>
      <c r="I223" s="4"/>
      <c r="J223" s="4"/>
    </row>
    <row r="224" ht="15.75" customHeight="1">
      <c r="A224" s="4"/>
      <c r="B224" s="4"/>
      <c r="C224" s="4"/>
      <c r="D224" s="4"/>
      <c r="E224" s="260"/>
      <c r="F224" s="4"/>
      <c r="G224" s="4"/>
      <c r="H224" s="4"/>
      <c r="I224" s="4"/>
      <c r="J224" s="4"/>
    </row>
    <row r="225" ht="15.75" customHeight="1">
      <c r="A225" s="4"/>
      <c r="B225" s="4"/>
      <c r="C225" s="4"/>
      <c r="D225" s="4"/>
      <c r="E225" s="260"/>
      <c r="F225" s="4"/>
      <c r="G225" s="4"/>
      <c r="H225" s="4"/>
      <c r="I225" s="4"/>
      <c r="J225" s="4"/>
    </row>
    <row r="226" ht="15.75" customHeight="1">
      <c r="A226" s="4"/>
      <c r="B226" s="4"/>
      <c r="C226" s="4"/>
      <c r="D226" s="4"/>
      <c r="E226" s="260"/>
      <c r="F226" s="4"/>
      <c r="G226" s="4"/>
      <c r="H226" s="4"/>
      <c r="I226" s="4"/>
      <c r="J226" s="4"/>
    </row>
    <row r="227" ht="15.75" customHeight="1">
      <c r="A227" s="4"/>
      <c r="B227" s="4"/>
      <c r="C227" s="4"/>
      <c r="D227" s="4"/>
      <c r="E227" s="260"/>
      <c r="F227" s="4"/>
      <c r="G227" s="4"/>
      <c r="H227" s="4"/>
      <c r="I227" s="4"/>
      <c r="J227" s="4"/>
    </row>
    <row r="228" ht="15.75" customHeight="1">
      <c r="A228" s="4"/>
      <c r="B228" s="4"/>
      <c r="C228" s="4"/>
      <c r="D228" s="4"/>
      <c r="E228" s="260"/>
      <c r="F228" s="4"/>
      <c r="G228" s="4"/>
      <c r="H228" s="4"/>
      <c r="I228" s="4"/>
      <c r="J228" s="4"/>
    </row>
    <row r="229" ht="15.75" customHeight="1">
      <c r="A229" s="4"/>
      <c r="B229" s="4"/>
      <c r="C229" s="4"/>
      <c r="D229" s="4"/>
      <c r="E229" s="260"/>
      <c r="F229" s="4"/>
      <c r="G229" s="4"/>
      <c r="H229" s="4"/>
      <c r="I229" s="4"/>
      <c r="J229" s="4"/>
    </row>
    <row r="230" ht="15.75" customHeight="1">
      <c r="A230" s="4"/>
      <c r="B230" s="4"/>
      <c r="C230" s="4"/>
      <c r="D230" s="4"/>
      <c r="E230" s="260"/>
      <c r="F230" s="4"/>
      <c r="G230" s="4"/>
      <c r="H230" s="4"/>
      <c r="I230" s="4"/>
      <c r="J230" s="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4:D5"/>
    <mergeCell ref="F4:F5"/>
    <mergeCell ref="G4:G5"/>
    <mergeCell ref="I4:I5"/>
    <mergeCell ref="J4:J5"/>
    <mergeCell ref="A31:J42"/>
    <mergeCell ref="B1:J1"/>
    <mergeCell ref="A2:J2"/>
    <mergeCell ref="A3:A5"/>
    <mergeCell ref="B3:B5"/>
    <mergeCell ref="C3:E3"/>
    <mergeCell ref="F3:J3"/>
    <mergeCell ref="C4:C5"/>
  </mergeCells>
  <conditionalFormatting sqref="B30">
    <cfRule type="cellIs" dxfId="1" priority="1" operator="equal">
      <formula>"NOT EQUAL TO MODELED AREA"</formula>
    </cfRule>
  </conditionalFormatting>
  <dataValidations>
    <dataValidation type="list" allowBlank="1" showErrorMessage="1" sqref="A6:A29">
      <formula1>Ltg_Bldg</formula1>
    </dataValidation>
    <dataValidation type="list" allowBlank="1" showErrorMessage="1" sqref="C6:D29 F6:G29">
      <formula1>Yes_No</formula1>
    </dataValidation>
  </dataValidations>
  <printOptions/>
  <pageMargins bottom="0.75" footer="0.0" header="0.0" left="0.7" right="0.7" top="0.75"/>
  <pageSetup scale="79" orientation="portrait"/>
  <headerFooter>
    <oddFooter>&amp;LVersion 7&amp;RAugust 2023</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1.14"/>
    <col customWidth="1" min="3" max="3" width="10.57"/>
    <col customWidth="1" min="4" max="4" width="11.0"/>
    <col customWidth="1" min="5" max="5" width="9.43"/>
    <col customWidth="1" min="6" max="6" width="10.71"/>
    <col customWidth="1" min="7" max="7" width="6.43"/>
    <col customWidth="1" min="8" max="8" width="7.86"/>
    <col customWidth="1" min="9" max="10" width="9.71"/>
    <col customWidth="1" min="11" max="11" width="6.57"/>
    <col customWidth="1" min="12" max="12" width="13.71"/>
    <col customWidth="1" min="13" max="13" width="8.71"/>
    <col customWidth="1" hidden="1" min="14" max="14" width="5.43"/>
    <col customWidth="1" hidden="1" min="15" max="16" width="6.71"/>
    <col customWidth="1" hidden="1" min="17" max="17" width="8.86"/>
    <col customWidth="1" hidden="1" min="18" max="18" width="2.43"/>
    <col customWidth="1" hidden="1" min="19" max="19" width="9.0"/>
    <col customWidth="1" min="20" max="23" width="8.71"/>
  </cols>
  <sheetData>
    <row r="1">
      <c r="A1" s="4"/>
      <c r="B1" s="4"/>
      <c r="C1" s="4"/>
      <c r="D1" s="4"/>
      <c r="E1" s="260"/>
      <c r="F1" s="4"/>
      <c r="G1" s="4"/>
      <c r="H1" s="4"/>
      <c r="I1" s="4"/>
      <c r="J1" s="4"/>
    </row>
    <row r="2">
      <c r="A2" s="277" t="s">
        <v>415</v>
      </c>
      <c r="B2" s="279" t="s">
        <v>416</v>
      </c>
      <c r="C2" s="67"/>
      <c r="D2" s="67"/>
      <c r="E2" s="67"/>
      <c r="F2" s="68"/>
    </row>
    <row r="3">
      <c r="A3" s="281" t="str">
        <f>CONCATENATE("Compliance based on ",IF(Path="","",Path))</f>
        <v>Compliance based on Appendix G PRM</v>
      </c>
      <c r="B3" s="67"/>
      <c r="C3" s="67"/>
      <c r="D3" s="67"/>
      <c r="E3" s="67"/>
      <c r="F3" s="68"/>
    </row>
    <row r="4">
      <c r="A4" s="95"/>
      <c r="B4" s="68"/>
      <c r="C4" s="99" t="s">
        <v>419</v>
      </c>
      <c r="D4" s="99" t="s">
        <v>420</v>
      </c>
      <c r="E4" s="99" t="s">
        <v>183</v>
      </c>
      <c r="F4" s="99" t="s">
        <v>184</v>
      </c>
    </row>
    <row r="5" ht="20.25" customHeight="1">
      <c r="A5" s="95" t="s">
        <v>421</v>
      </c>
      <c r="B5" s="68"/>
      <c r="C5" s="282">
        <v>64.0</v>
      </c>
      <c r="D5" s="282">
        <v>64.0</v>
      </c>
      <c r="E5" s="109" t="s">
        <v>423</v>
      </c>
      <c r="F5" s="109" t="s">
        <v>424</v>
      </c>
    </row>
    <row r="6" ht="20.25" customHeight="1">
      <c r="A6" s="95" t="s">
        <v>425</v>
      </c>
      <c r="B6" s="68"/>
      <c r="C6" s="283" t="str">
        <f>IF(SUM('6e. Ext LPD'!J29:J37)=0,"",SUM('6e. Ext LPD'!J29:J37))</f>
        <v/>
      </c>
      <c r="D6" s="282" t="str">
        <f>IF(SUM('6e. Ext LPD'!I29:I37)=0,"",SUM('6e. Ext LPD'!I29:I37))</f>
        <v/>
      </c>
      <c r="E6" s="109"/>
      <c r="F6" s="109"/>
    </row>
    <row r="7" ht="20.25" customHeight="1">
      <c r="A7" s="95" t="s">
        <v>427</v>
      </c>
      <c r="B7" s="68"/>
      <c r="C7" s="283">
        <f>IF(AND(C5="",C6=""),"",'6e. Ext LPD'!B11)</f>
        <v>0</v>
      </c>
      <c r="D7" s="228"/>
      <c r="E7" s="109"/>
      <c r="F7" s="109"/>
    </row>
    <row r="8" ht="20.25" customHeight="1">
      <c r="A8" s="279" t="s">
        <v>429</v>
      </c>
      <c r="B8" s="68"/>
      <c r="C8" s="284">
        <f>IF(AND(C5="",C6=""),"",SUM(C5:C6)+'6e. Ext LPD'!B11)</f>
        <v>64</v>
      </c>
      <c r="D8" s="285">
        <f>IF(AND(D5="",D6=""),"",SUM(D5:D6))</f>
        <v>64</v>
      </c>
      <c r="E8" s="109" t="s">
        <v>423</v>
      </c>
      <c r="F8" s="109" t="s">
        <v>424</v>
      </c>
    </row>
    <row r="9">
      <c r="A9" s="286"/>
    </row>
    <row r="10" ht="22.5" customHeight="1">
      <c r="A10" s="61"/>
      <c r="B10" s="287">
        <v>3.0</v>
      </c>
      <c r="C10" s="288" t="str">
        <f>IF(B10="","",LOOKUP(B10,LZ,LZDEC))</f>
        <v>M districts, except MX; C districts, except C5, C6 and C overlays on R</v>
      </c>
      <c r="D10" s="67"/>
      <c r="E10" s="67"/>
      <c r="F10" s="67"/>
      <c r="G10" s="67"/>
      <c r="H10" s="68"/>
      <c r="I10" s="61"/>
      <c r="J10" s="61"/>
    </row>
    <row r="11" ht="15.0" customHeight="1">
      <c r="A11" s="4"/>
      <c r="B11" s="289">
        <f>IF(B10="","",IF($B10="","",IF('4. Compliance'!$B$4="Section 11 ECB",VLOOKUP(B10,'Lighting Zones'!B1:D6,3),0)))</f>
        <v>0</v>
      </c>
      <c r="C11" s="288" t="s">
        <v>430</v>
      </c>
      <c r="D11" s="67"/>
      <c r="E11" s="67"/>
      <c r="F11" s="67"/>
      <c r="G11" s="67"/>
      <c r="H11" s="68"/>
      <c r="I11" s="4"/>
      <c r="J11" s="4"/>
    </row>
    <row r="12">
      <c r="A12" s="4"/>
      <c r="B12" s="4"/>
      <c r="C12" s="4"/>
      <c r="D12" s="4"/>
      <c r="E12" s="260"/>
      <c r="F12" s="4"/>
      <c r="G12" s="4"/>
      <c r="H12" s="4"/>
      <c r="I12" s="4"/>
      <c r="J12" s="4"/>
    </row>
    <row r="13" ht="34.5" customHeight="1">
      <c r="A13" s="290"/>
      <c r="B13" s="291" t="s">
        <v>431</v>
      </c>
      <c r="C13" s="124" t="s">
        <v>432</v>
      </c>
      <c r="D13" s="67"/>
      <c r="E13" s="67"/>
      <c r="F13" s="67"/>
      <c r="G13" s="68"/>
      <c r="H13" s="291" t="s">
        <v>433</v>
      </c>
      <c r="I13" s="99" t="s">
        <v>434</v>
      </c>
      <c r="J13" s="99" t="s">
        <v>435</v>
      </c>
      <c r="K13" s="124" t="s">
        <v>436</v>
      </c>
      <c r="L13" s="68"/>
      <c r="N13" s="290"/>
      <c r="O13" s="290"/>
      <c r="P13" s="290"/>
      <c r="Q13" s="290"/>
      <c r="R13" s="290"/>
      <c r="S13" s="290"/>
      <c r="T13" s="290"/>
      <c r="U13" s="290"/>
      <c r="V13" s="290"/>
      <c r="W13" s="290"/>
    </row>
    <row r="14" ht="23.25" customHeight="1">
      <c r="A14" s="233" t="s">
        <v>437</v>
      </c>
      <c r="B14" s="292" t="s">
        <v>438</v>
      </c>
      <c r="C14" s="293" t="s">
        <v>439</v>
      </c>
      <c r="D14" s="67"/>
      <c r="E14" s="67"/>
      <c r="F14" s="67"/>
      <c r="G14" s="68"/>
      <c r="H14" s="294"/>
      <c r="I14" s="294"/>
      <c r="J14" s="295" t="str">
        <f t="shared" ref="J14:J28" si="1">IF(H14="","",H14*K14)</f>
        <v/>
      </c>
      <c r="K14" s="296">
        <f>IF($B$10&lt;&gt;"",IF($B$10=0,0,IF($B10="","",IF('4. Compliance'!$B$4="Section 11 ECB",IF($B$10=1,0.03,IF($B$10=2,0.04,IF($B$10=3,0.05,0.05))),0.15))))</f>
        <v>0.15</v>
      </c>
      <c r="L14" s="297" t="s">
        <v>440</v>
      </c>
      <c r="N14" s="290"/>
      <c r="O14" s="290"/>
      <c r="P14" s="290"/>
      <c r="Q14" s="290"/>
      <c r="R14" s="290"/>
      <c r="S14" s="290"/>
      <c r="T14" s="290"/>
      <c r="U14" s="290"/>
      <c r="V14" s="290"/>
      <c r="W14" s="290"/>
    </row>
    <row r="15" ht="15.0" customHeight="1">
      <c r="A15" s="194"/>
      <c r="B15" s="227" t="s">
        <v>441</v>
      </c>
      <c r="C15" s="293" t="s">
        <v>442</v>
      </c>
      <c r="D15" s="67"/>
      <c r="E15" s="67"/>
      <c r="F15" s="67"/>
      <c r="G15" s="68"/>
      <c r="H15" s="294"/>
      <c r="I15" s="294"/>
      <c r="J15" s="295" t="str">
        <f t="shared" si="1"/>
        <v/>
      </c>
      <c r="K15" s="296">
        <f>IF($B$10&lt;&gt;"",IF($B$10=0,0,IF($B10="","",IF('4. Compliance'!$B$4="Section 11 ECB",IF($B$10=1,0.5,IF($B$10=2,0.5,IF($B$10=3,0.6,0.7))),1))))</f>
        <v>1</v>
      </c>
      <c r="L15" s="297" t="s">
        <v>440</v>
      </c>
      <c r="N15" s="290"/>
      <c r="O15" s="290"/>
      <c r="P15" s="290"/>
      <c r="Q15" s="290"/>
      <c r="R15" s="290"/>
      <c r="S15" s="290"/>
      <c r="T15" s="290"/>
      <c r="U15" s="290"/>
      <c r="V15" s="290"/>
      <c r="W15" s="290"/>
    </row>
    <row r="16" ht="15.0" customHeight="1">
      <c r="A16" s="194"/>
      <c r="B16" s="194"/>
      <c r="C16" s="293" t="s">
        <v>443</v>
      </c>
      <c r="D16" s="67"/>
      <c r="E16" s="67"/>
      <c r="F16" s="67"/>
      <c r="G16" s="68"/>
      <c r="H16" s="294"/>
      <c r="I16" s="294"/>
      <c r="J16" s="295" t="str">
        <f t="shared" si="1"/>
        <v/>
      </c>
      <c r="K16" s="296">
        <f>IF($B$10&lt;&gt;"",IF($B$10=0,0,IF($B10="","",IF('4. Compliance'!$B$4="Section 11 ECB",IF($B$10=1,0.1,IF($B$10=2,0.1,IF($B$10=3,0.11,0.14))),0.2))))</f>
        <v>0.2</v>
      </c>
      <c r="L16" s="297" t="s">
        <v>440</v>
      </c>
      <c r="N16" s="290"/>
      <c r="O16" s="290"/>
      <c r="P16" s="290"/>
      <c r="Q16" s="290"/>
      <c r="R16" s="290"/>
      <c r="S16" s="290"/>
      <c r="T16" s="290"/>
      <c r="U16" s="290"/>
      <c r="V16" s="290"/>
      <c r="W16" s="290"/>
    </row>
    <row r="17" ht="15.0" customHeight="1">
      <c r="A17" s="194"/>
      <c r="B17" s="194"/>
      <c r="C17" s="293" t="s">
        <v>444</v>
      </c>
      <c r="D17" s="67"/>
      <c r="E17" s="67"/>
      <c r="F17" s="67"/>
      <c r="G17" s="68"/>
      <c r="H17" s="294"/>
      <c r="I17" s="294"/>
      <c r="J17" s="295" t="str">
        <f t="shared" si="1"/>
        <v/>
      </c>
      <c r="K17" s="296">
        <f>IF($B$10&lt;&gt;"",IF($B$10=0,0,IF($B10="","",IF('4. Compliance'!$B$4="Section 11 ECB",IF($B$10=1,0.1,IF($B$10=2,0.1,IF($B$10=3,0.11,0.14))),0.2))))</f>
        <v>0.2</v>
      </c>
      <c r="L17" s="297" t="s">
        <v>440</v>
      </c>
      <c r="N17" s="290"/>
      <c r="O17" s="290"/>
      <c r="P17" s="290"/>
      <c r="Q17" s="290"/>
      <c r="R17" s="290"/>
      <c r="S17" s="290"/>
      <c r="T17" s="290"/>
      <c r="U17" s="290"/>
      <c r="V17" s="290"/>
      <c r="W17" s="290"/>
    </row>
    <row r="18" ht="15.0" customHeight="1">
      <c r="A18" s="194"/>
      <c r="B18" s="194"/>
      <c r="C18" s="293" t="s">
        <v>445</v>
      </c>
      <c r="D18" s="67"/>
      <c r="E18" s="67"/>
      <c r="F18" s="67"/>
      <c r="G18" s="68"/>
      <c r="H18" s="294"/>
      <c r="I18" s="294"/>
      <c r="J18" s="295" t="str">
        <f t="shared" si="1"/>
        <v/>
      </c>
      <c r="K18" s="296">
        <f>IF($B$10&lt;&gt;"",IF($B$10=0,0,IF($B10="","",IF('4. Compliance'!$B$4="Section 11 ECB",IF($B$10=1,0.1,IF($B$10=2,0.1,IF($B$10=3,0.11,0.14))),0.2))))</f>
        <v>0.2</v>
      </c>
      <c r="L18" s="297" t="s">
        <v>440</v>
      </c>
      <c r="N18" s="290"/>
      <c r="O18" s="290"/>
      <c r="P18" s="290"/>
      <c r="Q18" s="290"/>
      <c r="R18" s="290"/>
      <c r="S18" s="290"/>
      <c r="T18" s="290"/>
      <c r="U18" s="290"/>
      <c r="V18" s="290"/>
      <c r="W18" s="290"/>
    </row>
    <row r="19" ht="15.0" customHeight="1">
      <c r="A19" s="194"/>
      <c r="B19" s="194"/>
      <c r="C19" s="293" t="s">
        <v>446</v>
      </c>
      <c r="D19" s="67"/>
      <c r="E19" s="67"/>
      <c r="F19" s="67"/>
      <c r="G19" s="68"/>
      <c r="H19" s="294"/>
      <c r="I19" s="294"/>
      <c r="J19" s="295" t="str">
        <f t="shared" si="1"/>
        <v/>
      </c>
      <c r="K19" s="296" t="str">
        <f>IF($B$10&lt;&gt;"",IF($B$10=0,0,IF($B10="","",IF('4. Compliance'!$B$4="Section 11 ECB",IF($B$10=1,0.65,IF($B$10=2,0.65,IF($B$10=3,0.75,0.95))),IF(I19="","",I19/H19)))))</f>
        <v/>
      </c>
      <c r="L19" s="297" t="s">
        <v>440</v>
      </c>
      <c r="N19" s="290"/>
      <c r="O19" s="290"/>
      <c r="P19" s="290"/>
      <c r="Q19" s="290"/>
      <c r="R19" s="290"/>
      <c r="S19" s="290"/>
      <c r="T19" s="290"/>
      <c r="U19" s="290"/>
      <c r="V19" s="290"/>
      <c r="W19" s="290"/>
    </row>
    <row r="20" ht="15.0" customHeight="1">
      <c r="A20" s="194"/>
      <c r="B20" s="194"/>
      <c r="C20" s="293" t="s">
        <v>447</v>
      </c>
      <c r="D20" s="67"/>
      <c r="E20" s="67"/>
      <c r="F20" s="67"/>
      <c r="G20" s="68"/>
      <c r="H20" s="294"/>
      <c r="I20" s="294"/>
      <c r="J20" s="295" t="str">
        <f t="shared" si="1"/>
        <v/>
      </c>
      <c r="K20" s="296">
        <f>IF($B$10&lt;&gt;"",IF($B$10=0,0,IF($B10="","",IF('4. Compliance'!$B$4="Section 11 ECB",IF($B$10=1,0.6,IF($B$10=2,0.7,IF($B$10=3,0.7,0.7))),1))))</f>
        <v>1</v>
      </c>
      <c r="L20" s="297" t="s">
        <v>440</v>
      </c>
      <c r="N20" s="290"/>
      <c r="O20" s="290"/>
      <c r="P20" s="290"/>
      <c r="Q20" s="290"/>
      <c r="R20" s="290"/>
      <c r="S20" s="290"/>
      <c r="T20" s="290"/>
      <c r="U20" s="290"/>
      <c r="V20" s="290"/>
      <c r="W20" s="290"/>
    </row>
    <row r="21" ht="15.0" customHeight="1">
      <c r="A21" s="194"/>
      <c r="B21" s="194"/>
      <c r="C21" s="293" t="s">
        <v>448</v>
      </c>
      <c r="D21" s="67"/>
      <c r="E21" s="67"/>
      <c r="F21" s="67"/>
      <c r="G21" s="68"/>
      <c r="H21" s="294"/>
      <c r="I21" s="294"/>
      <c r="J21" s="295" t="str">
        <f t="shared" si="1"/>
        <v/>
      </c>
      <c r="K21" s="296" t="str">
        <f>IF($B$10&lt;&gt;"",IF($B$10=0,0,IF($B10="","",IF('4. Compliance'!$B$4="Section 11 ECB",IF($B$10=1,0.12,IF($B$10=2,0.12,IF($B$10=3,0.14,0.21))),IF(H21="","",I21/H21)))))</f>
        <v/>
      </c>
      <c r="L21" s="297" t="s">
        <v>440</v>
      </c>
      <c r="N21" s="290"/>
      <c r="O21" s="290"/>
      <c r="P21" s="290"/>
      <c r="Q21" s="290"/>
      <c r="R21" s="290"/>
      <c r="S21" s="290"/>
      <c r="T21" s="290"/>
      <c r="U21" s="290"/>
      <c r="V21" s="290"/>
      <c r="W21" s="290"/>
    </row>
    <row r="22" ht="15.0" customHeight="1">
      <c r="A22" s="194"/>
      <c r="B22" s="198"/>
      <c r="C22" s="293" t="s">
        <v>449</v>
      </c>
      <c r="D22" s="67"/>
      <c r="E22" s="67"/>
      <c r="F22" s="67"/>
      <c r="G22" s="68"/>
      <c r="H22" s="294"/>
      <c r="I22" s="294"/>
      <c r="J22" s="295" t="str">
        <f t="shared" si="1"/>
        <v/>
      </c>
      <c r="K22" s="296" t="str">
        <f>IF($B$10&lt;&gt;"",IF($B$10=0,0,IF($B11="","",IF('4. Compliance'!$B$4="Section 11 ECB",IF($B$10=1,0.12,IF($B$10=2,0.12,IF($B$10=3,0.14,0.21))),IF(H22="","",I22/H22)))))</f>
        <v/>
      </c>
      <c r="L22" s="297" t="s">
        <v>440</v>
      </c>
      <c r="N22" s="290"/>
      <c r="O22" s="290"/>
      <c r="P22" s="290"/>
      <c r="Q22" s="290"/>
      <c r="R22" s="290"/>
      <c r="S22" s="290"/>
      <c r="T22" s="290"/>
      <c r="U22" s="290"/>
      <c r="V22" s="290"/>
      <c r="W22" s="290"/>
    </row>
    <row r="23" ht="26.25" customHeight="1">
      <c r="A23" s="194"/>
      <c r="B23" s="227" t="s">
        <v>450</v>
      </c>
      <c r="C23" s="293" t="s">
        <v>451</v>
      </c>
      <c r="D23" s="67"/>
      <c r="E23" s="67"/>
      <c r="F23" s="67"/>
      <c r="G23" s="68"/>
      <c r="H23" s="294"/>
      <c r="I23" s="294"/>
      <c r="J23" s="295" t="str">
        <f t="shared" si="1"/>
        <v/>
      </c>
      <c r="K23" s="296">
        <f>IF($B$10&lt;&gt;"",IF($B$10=0,0,IF($B10="","",IF('4. Compliance'!$B$4="Section 11 ECB",IF($B$10=1,12.6,IF($B$10=2,12.6,IF($B$10=3,20,20))),30))))</f>
        <v>30</v>
      </c>
      <c r="L23" s="297" t="s">
        <v>452</v>
      </c>
      <c r="N23" s="290"/>
      <c r="O23" s="290"/>
      <c r="P23" s="290"/>
      <c r="Q23" s="290"/>
      <c r="R23" s="290"/>
      <c r="S23" s="290"/>
      <c r="T23" s="290"/>
      <c r="U23" s="290"/>
      <c r="V23" s="290"/>
      <c r="W23" s="290"/>
    </row>
    <row r="24" ht="26.25" customHeight="1">
      <c r="A24" s="194"/>
      <c r="B24" s="194"/>
      <c r="C24" s="293" t="s">
        <v>453</v>
      </c>
      <c r="D24" s="67"/>
      <c r="E24" s="67"/>
      <c r="F24" s="67"/>
      <c r="G24" s="68"/>
      <c r="H24" s="294"/>
      <c r="I24" s="294"/>
      <c r="J24" s="295" t="str">
        <f t="shared" si="1"/>
        <v/>
      </c>
      <c r="K24" s="296" t="str">
        <f>IF($B$10&lt;&gt;"",IF($B$10=0,0,IF($B13="","",IF('4. Compliance'!$B$4="Section 11 ECB",IF($B$10=1,0.12,IF($B$10=2,0.12,IF($B$10=3,0.14,0.21))),IF(H24="","",I24/H24)))))</f>
        <v/>
      </c>
      <c r="L24" s="297" t="s">
        <v>440</v>
      </c>
      <c r="N24" s="290"/>
      <c r="O24" s="290"/>
      <c r="P24" s="290"/>
      <c r="Q24" s="290"/>
      <c r="R24" s="290"/>
      <c r="S24" s="290"/>
      <c r="T24" s="290"/>
      <c r="U24" s="290"/>
      <c r="V24" s="290"/>
      <c r="W24" s="290"/>
    </row>
    <row r="25" ht="24.0" customHeight="1">
      <c r="A25" s="194"/>
      <c r="B25" s="198"/>
      <c r="C25" s="293" t="s">
        <v>454</v>
      </c>
      <c r="D25" s="67"/>
      <c r="E25" s="67"/>
      <c r="F25" s="67"/>
      <c r="G25" s="68"/>
      <c r="H25" s="294"/>
      <c r="I25" s="294"/>
      <c r="J25" s="295" t="str">
        <f t="shared" si="1"/>
        <v/>
      </c>
      <c r="K25" s="296" t="str">
        <f>IF($B$10&lt;&gt;"",IF($B$10=0,0,IF($B14="","",IF('4. Compliance'!$B$4="Section 11 ECB",IF($B$10=1,0.12,IF($B$10=2,0.12,IF($B$10=3,0.14,0.21))),IF(H25="","",I25/H25)))))</f>
        <v/>
      </c>
      <c r="L25" s="297" t="s">
        <v>440</v>
      </c>
      <c r="N25" s="290"/>
      <c r="O25" s="290"/>
      <c r="P25" s="290"/>
      <c r="Q25" s="290"/>
      <c r="R25" s="290"/>
      <c r="S25" s="290"/>
      <c r="T25" s="290"/>
      <c r="U25" s="290"/>
      <c r="V25" s="290"/>
      <c r="W25" s="290"/>
    </row>
    <row r="26" ht="24.0" customHeight="1">
      <c r="A26" s="194"/>
      <c r="B26" s="292" t="s">
        <v>455</v>
      </c>
      <c r="C26" s="293" t="s">
        <v>456</v>
      </c>
      <c r="D26" s="67"/>
      <c r="E26" s="67"/>
      <c r="F26" s="67"/>
      <c r="G26" s="68"/>
      <c r="H26" s="294"/>
      <c r="I26" s="294"/>
      <c r="J26" s="295" t="str">
        <f t="shared" si="1"/>
        <v/>
      </c>
      <c r="K26" s="296" t="str">
        <f>IF($B$10&lt;&gt;"",IF($B$10=0,0,IF($B15="","",IF('4. Compliance'!$B$4="Section 11 ECB",IF($B$10=1,0.12,IF($B$10=2,0.12,IF($B$10=3,0.14,0.21))),IF(H26="","",I26/H26)))))</f>
        <v/>
      </c>
      <c r="L26" s="297" t="s">
        <v>440</v>
      </c>
      <c r="N26" s="290"/>
      <c r="O26" s="290"/>
      <c r="P26" s="290"/>
      <c r="Q26" s="290"/>
      <c r="R26" s="290"/>
      <c r="S26" s="290"/>
      <c r="T26" s="290"/>
      <c r="U26" s="290"/>
      <c r="V26" s="290"/>
      <c r="W26" s="290"/>
    </row>
    <row r="27" ht="24.75" customHeight="1">
      <c r="A27" s="194"/>
      <c r="B27" s="313" t="s">
        <v>457</v>
      </c>
      <c r="C27" s="293" t="s">
        <v>458</v>
      </c>
      <c r="D27" s="67"/>
      <c r="E27" s="67"/>
      <c r="F27" s="67"/>
      <c r="G27" s="68"/>
      <c r="H27" s="294"/>
      <c r="I27" s="294"/>
      <c r="J27" s="295" t="str">
        <f t="shared" si="1"/>
        <v/>
      </c>
      <c r="K27" s="296">
        <f>IF($B$10&lt;&gt;"",IF($B$10=0,0,IF($B10="","",IF('4. Compliance'!$B$4="Section 11 ECB",IF($B$10=1,0.2,IF($B$10=2,0.2,IF($B$10=3,0.35,0.5))),0.5))))</f>
        <v>0.5</v>
      </c>
      <c r="L27" s="297" t="s">
        <v>440</v>
      </c>
      <c r="N27" s="290"/>
      <c r="O27" s="290"/>
      <c r="P27" s="290"/>
      <c r="Q27" s="290"/>
      <c r="R27" s="290"/>
      <c r="S27" s="290"/>
      <c r="T27" s="290"/>
      <c r="U27" s="290"/>
      <c r="V27" s="290"/>
      <c r="W27" s="290"/>
    </row>
    <row r="28" ht="26.25" customHeight="1">
      <c r="A28" s="198"/>
      <c r="B28" s="314"/>
      <c r="C28" s="315" t="s">
        <v>459</v>
      </c>
      <c r="D28" s="316"/>
      <c r="E28" s="316"/>
      <c r="F28" s="316"/>
      <c r="G28" s="317"/>
      <c r="H28" s="318"/>
      <c r="I28" s="294"/>
      <c r="J28" s="295" t="str">
        <f t="shared" si="1"/>
        <v/>
      </c>
      <c r="K28" s="296">
        <f>IF($B$10&lt;&gt;"",IF($B$10=0,0,IF($B10="","",IF('4. Compliance'!$B$4="Section 11 ECB",IF($B$10=1,0,IF($B$10=2,7,IF($B$10=3,7,21))),20))))</f>
        <v>20</v>
      </c>
      <c r="L28" s="297" t="s">
        <v>452</v>
      </c>
      <c r="N28" s="290"/>
      <c r="O28" s="290"/>
      <c r="P28" s="290"/>
      <c r="Q28" s="290"/>
      <c r="R28" s="290"/>
      <c r="S28" s="290"/>
      <c r="T28" s="290"/>
      <c r="U28" s="290"/>
      <c r="V28" s="290"/>
      <c r="W28" s="290"/>
    </row>
    <row r="29" ht="26.25" customHeight="1">
      <c r="A29" s="233" t="s">
        <v>460</v>
      </c>
      <c r="B29" s="319" t="s">
        <v>461</v>
      </c>
      <c r="C29" s="320" t="s">
        <v>462</v>
      </c>
      <c r="D29" s="140"/>
      <c r="E29" s="321"/>
      <c r="F29" s="322" t="s">
        <v>463</v>
      </c>
      <c r="G29" s="323"/>
      <c r="H29" s="321"/>
      <c r="I29" s="321"/>
      <c r="J29" s="295" t="str">
        <f>IF(AND(E29="",H29=""),"",IF(Path="Section 11 ECB",E29*O29+H29*P29,I29))</f>
        <v/>
      </c>
      <c r="K29" s="296" t="str">
        <f>IF(Path="Section 11 ECB",IF($B$10&lt;&gt;"",IF($B$10=0,0,IF($B$10=1,0,IF($B$10=2,IF(Q29&gt;R29,O29,P29),IF($B$10=3,IF(Q29&gt;R29,O29,P29),IF(Q29&gt;R29,O29,P29))))),""),"")</f>
        <v/>
      </c>
      <c r="L29" s="297" t="str">
        <f t="shared" ref="L29:L32" si="2">IF($B$10&lt;&gt;"",IF($B$10=0,0,IF($B$10=1,0,IF($B$10=2,IF(Q29&gt;R29,"W/SF","W/FT"),IF($B$10=3,IF(Q29&gt;R29,"W/SF","W/FT"),IF(Q29&gt;R29,"W/SF","W/FT"))))),"")</f>
        <v>W/FT</v>
      </c>
      <c r="N29" s="290"/>
      <c r="O29" s="324" t="str">
        <f>IF($B$10&lt;&gt;"",IF($B$10=0,0,IF($B$10="","",IF('4. Compliance'!$B$4="Section 11 ECB",IF($B$10=1,0,IF($B$10=2,0.1,IF($B$10=3,0.15,0.2))),E29))))</f>
        <v/>
      </c>
      <c r="P29" s="324" t="str">
        <f>IF($B$10&lt;&gt;"",IF($B$10=0,0,IF($B$10="","",IF('4. Compliance'!$B$4="Section 11 ECB",IF($B$10=1,0,IF($B$10=2,2.5,IF($B$10=3,3.75,5))),H29))))</f>
        <v/>
      </c>
      <c r="Q29" s="290">
        <f t="shared" ref="Q29:Q32" si="3">O29*E29</f>
        <v>0</v>
      </c>
      <c r="R29" s="290">
        <f t="shared" ref="R29:R32" si="4">H29*P29</f>
        <v>0</v>
      </c>
      <c r="S29" s="290"/>
      <c r="T29" s="290"/>
      <c r="U29" s="290"/>
      <c r="V29" s="290"/>
      <c r="W29" s="290"/>
    </row>
    <row r="30" ht="26.25" customHeight="1">
      <c r="A30" s="194"/>
      <c r="B30" s="194"/>
      <c r="C30" s="320" t="s">
        <v>464</v>
      </c>
      <c r="D30" s="140"/>
      <c r="E30" s="321"/>
      <c r="F30" s="293" t="s">
        <v>465</v>
      </c>
      <c r="G30" s="68"/>
      <c r="H30" s="321"/>
      <c r="I30" s="321"/>
      <c r="J30" s="295" t="str">
        <f>IF(AND(E30="",H30=""),"",IF(Path="Section 11 ECB",E30*O30+H30*P30,I30))</f>
        <v/>
      </c>
      <c r="K30" s="296" t="str">
        <f>IF(Path="Section 11 ECB",IF($B$10&lt;&gt;"",IF($B$10=0,0,IF($B$10=1,0,IF($B$10=2,IF(Q30&gt;R30,O30,P30),IF($B$10=3,IF(Q30&gt;R30,O30,P30),IF(Q30&gt;R30,O30,P30))))),""),"")</f>
        <v/>
      </c>
      <c r="L30" s="297" t="str">
        <f t="shared" si="2"/>
        <v>W/FT</v>
      </c>
      <c r="N30" s="290"/>
      <c r="O30" s="324" t="str">
        <f>IF($B$10&lt;&gt;"",IF($B$10=0,0,IF($B$10="","",IF('4. Compliance'!$B$4="Section 11 ECB",IF($B$10=1,0,IF($B$10=2,0.1,IF($B$10=3,0.15,0.2))),E30))))</f>
        <v/>
      </c>
      <c r="P30" s="324" t="str">
        <f>IF($B$10&lt;&gt;"",IF($B$10=0,0,IF($B$10="","",IF('4. Compliance'!$B$4="Section 11 ECB",IF($B$10=1,0,IF($B$10=2,2.5,IF($B$10=3,3.75,5))),H30))))</f>
        <v/>
      </c>
      <c r="Q30" s="290">
        <f t="shared" si="3"/>
        <v>0</v>
      </c>
      <c r="R30" s="290">
        <f t="shared" si="4"/>
        <v>0</v>
      </c>
      <c r="S30" s="290"/>
      <c r="T30" s="290"/>
      <c r="U30" s="290"/>
      <c r="V30" s="290"/>
      <c r="W30" s="290"/>
    </row>
    <row r="31" ht="26.25" customHeight="1">
      <c r="A31" s="194"/>
      <c r="B31" s="194"/>
      <c r="C31" s="320" t="s">
        <v>466</v>
      </c>
      <c r="D31" s="140"/>
      <c r="E31" s="321"/>
      <c r="F31" s="293" t="s">
        <v>467</v>
      </c>
      <c r="G31" s="68"/>
      <c r="H31" s="321"/>
      <c r="I31" s="321"/>
      <c r="J31" s="295" t="str">
        <f>IF(AND(E31="",H31=""),"",IF(Path="Section 11 ECB",E31*O31+H31*P31,I31))</f>
        <v/>
      </c>
      <c r="K31" s="296" t="str">
        <f>IF(Path="Section 11 ECB",IF($B$10&lt;&gt;"",IF($B$10=0,0,IF($B$10=1,0,IF($B$10=2,IF(Q31&gt;R31,O31,P31),IF($B$10=3,IF(Q31&gt;R31,O31,P31),IF(Q31&gt;R31,O31,P31))))),""),"")</f>
        <v/>
      </c>
      <c r="L31" s="297" t="str">
        <f t="shared" si="2"/>
        <v>W/FT</v>
      </c>
      <c r="N31" s="290"/>
      <c r="O31" s="324" t="str">
        <f>IF($B$10&lt;&gt;"",IF($B$10=0,0,IF($B$10="","",IF('4. Compliance'!$B$4="Section 11 ECB",IF($B$10=1,0,IF($B$10=2,0.1,IF($B$10=3,0.15,0.2))),E31))))</f>
        <v/>
      </c>
      <c r="P31" s="324" t="str">
        <f>IF($B$10&lt;&gt;"",IF($B$10=0,0,IF($B$10="","",IF('4. Compliance'!$B$4="Section 11 ECB",IF($B$10=1,0,IF($B$10=2,2.5,IF($B$10=3,3.75,5))),H31))))</f>
        <v/>
      </c>
      <c r="Q31" s="290">
        <f t="shared" si="3"/>
        <v>0</v>
      </c>
      <c r="R31" s="290">
        <f t="shared" si="4"/>
        <v>0</v>
      </c>
      <c r="S31" s="290"/>
      <c r="T31" s="290"/>
      <c r="U31" s="290"/>
      <c r="V31" s="290"/>
      <c r="W31" s="290"/>
    </row>
    <row r="32" ht="26.25" customHeight="1">
      <c r="A32" s="194"/>
      <c r="B32" s="198"/>
      <c r="C32" s="320" t="s">
        <v>468</v>
      </c>
      <c r="D32" s="140"/>
      <c r="E32" s="321"/>
      <c r="F32" s="293" t="s">
        <v>469</v>
      </c>
      <c r="G32" s="68"/>
      <c r="H32" s="321"/>
      <c r="I32" s="321"/>
      <c r="J32" s="295" t="str">
        <f>IF(AND(E32="",H32=""),"",IF(Path="Section 11 ECB",E32*O32+H32*P32,I32))</f>
        <v/>
      </c>
      <c r="K32" s="296" t="str">
        <f>IF(Path="Section 11 ECB",IF($B$10&lt;&gt;"",IF($B$10=0,0,IF($B$10=1,0,IF($B$10=2,IF(Q32&gt;R32,O32,P32),IF($B$10=3,IF(Q32&gt;R32,O32,P32),IF(Q32&gt;R32,O32,P32))))),""),"")</f>
        <v/>
      </c>
      <c r="L32" s="297" t="str">
        <f t="shared" si="2"/>
        <v>W/FT</v>
      </c>
      <c r="N32" s="290"/>
      <c r="O32" s="324" t="str">
        <f>IF($B$10&lt;&gt;"",IF($B$10=0,0,IF($B$10="","",IF('4. Compliance'!$B$4="Section 11 ECB",IF($B$10=1,0,IF($B$10=2,0.1,IF($B$10=3,0.15,0.2))),E32))))</f>
        <v/>
      </c>
      <c r="P32" s="324">
        <f>IF($B$10&lt;&gt;"",IF($B$10=0,0,IF($B$10="","",IF('4. Compliance'!$B$4="Section 11 ECB",IF($B$10=1,0,IF($B$10=2,2.5,IF($B$10=3,3.75,5))),5))))</f>
        <v>5</v>
      </c>
      <c r="Q32" s="290">
        <f t="shared" si="3"/>
        <v>0</v>
      </c>
      <c r="R32" s="290">
        <f t="shared" si="4"/>
        <v>0</v>
      </c>
      <c r="S32" s="290"/>
      <c r="T32" s="290"/>
      <c r="U32" s="290"/>
      <c r="V32" s="290"/>
      <c r="W32" s="290"/>
    </row>
    <row r="33" ht="37.5" customHeight="1">
      <c r="A33" s="194"/>
      <c r="B33" s="292" t="s">
        <v>470</v>
      </c>
      <c r="C33" s="325" t="s">
        <v>471</v>
      </c>
      <c r="D33" s="68"/>
      <c r="E33" s="294"/>
      <c r="F33" s="326"/>
      <c r="G33" s="327" t="s">
        <v>472</v>
      </c>
      <c r="H33" s="294"/>
      <c r="I33" s="294"/>
      <c r="J33" s="295" t="str">
        <f t="shared" ref="J33:J37" si="5">IF(H33="","",H33*K33)</f>
        <v/>
      </c>
      <c r="K33" s="328" t="str">
        <f>IF(Path="Section 11 ECB",IF($B$10&lt;&gt;"",IF($B$10=0,"No allowance","Allowance = 135W per location plus 45W per additional ATM per location."),""),"")</f>
        <v/>
      </c>
      <c r="L33" s="68"/>
      <c r="N33" s="290"/>
      <c r="O33" s="290"/>
      <c r="P33" s="290"/>
      <c r="Q33" s="290"/>
      <c r="R33" s="290"/>
      <c r="S33" s="290"/>
      <c r="T33" s="290"/>
      <c r="U33" s="290"/>
      <c r="V33" s="290"/>
      <c r="W33" s="290"/>
    </row>
    <row r="34" ht="33.75" customHeight="1">
      <c r="A34" s="194"/>
      <c r="B34" s="292" t="s">
        <v>473</v>
      </c>
      <c r="C34" s="293" t="s">
        <v>474</v>
      </c>
      <c r="D34" s="67"/>
      <c r="E34" s="67"/>
      <c r="F34" s="67"/>
      <c r="G34" s="68"/>
      <c r="H34" s="294"/>
      <c r="I34" s="294"/>
      <c r="J34" s="295" t="str">
        <f t="shared" si="5"/>
        <v/>
      </c>
      <c r="K34" s="296" t="str">
        <f>IF($B$10&lt;&gt;"",IF($B$10=0,0,IF($B10="","",IF(Path="Section 11 ECB",IF($B$10=1,0.12,IF($B$10=2,0.12,IF($B$10=3,0.14,0.21))),""))))</f>
        <v/>
      </c>
      <c r="L34" s="297" t="str">
        <f t="shared" ref="L34:L35" si="6">IF($B$10&lt;&gt;"",IF($B$10=0,0,IF($B$10=1,0,IF($B$10=2,IF(Q34&gt;R34,"W/SF","W/FT"),IF($B$10=3,IF(Q34&gt;R34,"W/SF","W/FT"),IF(Q34&gt;R34,"W/SF","W/FT"))))),"")</f>
        <v>W/FT</v>
      </c>
      <c r="N34" s="290"/>
      <c r="O34" s="290"/>
      <c r="P34" s="290"/>
      <c r="Q34" s="290"/>
      <c r="R34" s="290"/>
      <c r="S34" s="290"/>
      <c r="T34" s="290"/>
      <c r="U34" s="290"/>
      <c r="V34" s="290"/>
      <c r="W34" s="290"/>
    </row>
    <row r="35" ht="23.25" customHeight="1">
      <c r="A35" s="194"/>
      <c r="B35" s="292" t="s">
        <v>475</v>
      </c>
      <c r="C35" s="293" t="s">
        <v>476</v>
      </c>
      <c r="D35" s="67"/>
      <c r="E35" s="67"/>
      <c r="F35" s="67"/>
      <c r="G35" s="68"/>
      <c r="H35" s="294"/>
      <c r="I35" s="294"/>
      <c r="J35" s="295" t="str">
        <f t="shared" si="5"/>
        <v/>
      </c>
      <c r="K35" s="296" t="str">
        <f>IF($B$10&lt;&gt;"",IF($B$10=0,0,IF($B10="","",IF(Path="Section 11 ECB",IF($B$10=1,0.12,IF($B$10=2,0.12,IF($B$10=3,0.14,0.21))),""))))</f>
        <v/>
      </c>
      <c r="L35" s="297" t="str">
        <f t="shared" si="6"/>
        <v>W/FT</v>
      </c>
      <c r="N35" s="290"/>
      <c r="O35" s="290"/>
      <c r="P35" s="290"/>
      <c r="Q35" s="290"/>
      <c r="R35" s="290"/>
      <c r="S35" s="290"/>
      <c r="T35" s="290"/>
      <c r="U35" s="290"/>
      <c r="V35" s="290"/>
      <c r="W35" s="290"/>
    </row>
    <row r="36" ht="21.75" customHeight="1">
      <c r="A36" s="194"/>
      <c r="B36" s="292" t="s">
        <v>477</v>
      </c>
      <c r="C36" s="293" t="s">
        <v>478</v>
      </c>
      <c r="D36" s="67"/>
      <c r="E36" s="67"/>
      <c r="F36" s="67"/>
      <c r="G36" s="68"/>
      <c r="H36" s="294"/>
      <c r="I36" s="294"/>
      <c r="J36" s="295" t="str">
        <f t="shared" si="5"/>
        <v/>
      </c>
      <c r="K36" s="329" t="str">
        <f>IF($B$10&lt;&gt;"",IF($B$10=0,0,IF(Path="Section 11 ECB",IF($B$10=1,200,IF($B$10=2,200,IF($B$10=3,200,400))),"")))</f>
        <v/>
      </c>
      <c r="L36" s="297" t="s">
        <v>479</v>
      </c>
      <c r="N36" s="290"/>
      <c r="O36" s="290"/>
      <c r="P36" s="290"/>
      <c r="Q36" s="290"/>
      <c r="R36" s="290"/>
      <c r="S36" s="290"/>
      <c r="T36" s="290"/>
      <c r="U36" s="290"/>
      <c r="V36" s="290"/>
      <c r="W36" s="290"/>
    </row>
    <row r="37" ht="34.5" customHeight="1">
      <c r="A37" s="198"/>
      <c r="B37" s="292" t="s">
        <v>480</v>
      </c>
      <c r="C37" s="293" t="s">
        <v>481</v>
      </c>
      <c r="D37" s="67"/>
      <c r="E37" s="67"/>
      <c r="F37" s="67"/>
      <c r="G37" s="68"/>
      <c r="H37" s="294"/>
      <c r="I37" s="294"/>
      <c r="J37" s="295" t="str">
        <f t="shared" si="5"/>
        <v/>
      </c>
      <c r="K37" s="329" t="str">
        <f>IF($B$10&lt;&gt;"",IF($B$10=0,0,IF(Path="Section 11 ECB",IF($B$10=1,400,IF($B$10=2,400,IF($B$10=3,400,400))),"")))</f>
        <v/>
      </c>
      <c r="L37" s="297" t="s">
        <v>482</v>
      </c>
      <c r="N37" s="290"/>
      <c r="O37" s="290"/>
      <c r="P37" s="290"/>
      <c r="Q37" s="290"/>
      <c r="R37" s="290"/>
      <c r="S37" s="290"/>
      <c r="T37" s="290"/>
      <c r="U37" s="290"/>
      <c r="V37" s="290"/>
      <c r="W37" s="290"/>
    </row>
    <row r="38" ht="15.75" customHeight="1">
      <c r="A38" s="182"/>
      <c r="B38" s="330"/>
      <c r="C38" s="330"/>
      <c r="D38" s="330"/>
      <c r="E38" s="330"/>
      <c r="F38" s="330"/>
      <c r="G38" s="330"/>
      <c r="H38" s="330"/>
      <c r="I38" s="330"/>
      <c r="J38" s="330"/>
      <c r="K38" s="330"/>
      <c r="L38" s="331"/>
      <c r="N38" s="290"/>
      <c r="O38" s="290"/>
      <c r="P38" s="290"/>
      <c r="Q38" s="290"/>
      <c r="R38" s="290"/>
      <c r="S38" s="290"/>
      <c r="T38" s="290"/>
      <c r="U38" s="290"/>
      <c r="V38" s="290"/>
      <c r="W38" s="290"/>
    </row>
    <row r="39" ht="15.75" customHeight="1"/>
    <row r="40" ht="15.75" customHeight="1">
      <c r="A40" s="4"/>
      <c r="B40" s="4"/>
      <c r="C40" s="4"/>
      <c r="D40" s="4"/>
      <c r="E40" s="260"/>
      <c r="F40" s="4"/>
      <c r="G40" s="4"/>
      <c r="H40" s="4"/>
      <c r="I40" s="4"/>
      <c r="J40" s="4"/>
    </row>
    <row r="41" ht="15.75" customHeight="1">
      <c r="A41" s="4"/>
      <c r="B41" s="4"/>
      <c r="C41" s="4"/>
      <c r="D41" s="4"/>
      <c r="E41" s="260"/>
      <c r="F41" s="4"/>
      <c r="G41" s="4"/>
      <c r="H41" s="4"/>
      <c r="I41" s="4"/>
      <c r="J41" s="4"/>
    </row>
    <row r="42" ht="15.75" customHeight="1">
      <c r="A42" s="4"/>
      <c r="B42" s="4"/>
      <c r="C42" s="4"/>
      <c r="D42" s="4"/>
      <c r="E42" s="260"/>
      <c r="F42" s="4"/>
      <c r="G42" s="4"/>
      <c r="H42" s="4"/>
      <c r="I42" s="4"/>
      <c r="J42" s="4"/>
    </row>
    <row r="43" ht="15.75" customHeight="1">
      <c r="A43" s="4"/>
      <c r="B43" s="4"/>
      <c r="C43" s="4"/>
      <c r="D43" s="4"/>
      <c r="E43" s="260"/>
      <c r="F43" s="4"/>
      <c r="G43" s="4"/>
      <c r="H43" s="4"/>
      <c r="I43" s="4"/>
      <c r="J43" s="4"/>
    </row>
    <row r="44" ht="15.75" customHeight="1">
      <c r="A44" s="4"/>
      <c r="B44" s="4"/>
      <c r="C44" s="4"/>
      <c r="D44" s="4"/>
      <c r="E44" s="260"/>
      <c r="F44" s="4"/>
      <c r="G44" s="4"/>
      <c r="H44" s="4"/>
      <c r="I44" s="4"/>
      <c r="J44" s="4"/>
    </row>
    <row r="45" ht="15.75" customHeight="1">
      <c r="A45" s="4"/>
      <c r="B45" s="4"/>
      <c r="C45" s="4"/>
      <c r="D45" s="4"/>
      <c r="E45" s="260"/>
      <c r="F45" s="4"/>
      <c r="G45" s="4"/>
      <c r="H45" s="4"/>
      <c r="I45" s="4"/>
      <c r="J45" s="4"/>
    </row>
    <row r="46" ht="15.75" customHeight="1">
      <c r="A46" s="4"/>
      <c r="B46" s="4"/>
      <c r="C46" s="4"/>
      <c r="D46" s="4"/>
      <c r="E46" s="260"/>
      <c r="F46" s="4"/>
      <c r="G46" s="4"/>
      <c r="H46" s="4"/>
      <c r="I46" s="4"/>
      <c r="J46" s="4"/>
    </row>
    <row r="47" ht="15.75" customHeight="1">
      <c r="A47" s="4"/>
      <c r="B47" s="4"/>
      <c r="C47" s="4"/>
      <c r="D47" s="4"/>
      <c r="E47" s="260"/>
      <c r="F47" s="4"/>
      <c r="G47" s="4"/>
      <c r="H47" s="4"/>
      <c r="I47" s="4"/>
      <c r="J47" s="4"/>
    </row>
    <row r="48" ht="15.75" customHeight="1">
      <c r="A48" s="4"/>
      <c r="B48" s="4"/>
      <c r="C48" s="4"/>
      <c r="D48" s="4"/>
      <c r="E48" s="260"/>
      <c r="F48" s="4"/>
      <c r="G48" s="4"/>
      <c r="H48" s="4"/>
      <c r="I48" s="4"/>
      <c r="J48" s="4"/>
      <c r="K48" s="4"/>
      <c r="L48" s="4"/>
    </row>
    <row r="49" ht="15.75" customHeight="1">
      <c r="A49" s="4"/>
      <c r="B49" s="4"/>
      <c r="C49" s="4"/>
      <c r="D49" s="4"/>
      <c r="E49" s="260"/>
      <c r="F49" s="4"/>
      <c r="G49" s="4"/>
      <c r="H49" s="4"/>
      <c r="I49" s="4"/>
      <c r="J49" s="4"/>
      <c r="K49" s="4"/>
      <c r="L49" s="4"/>
    </row>
    <row r="50" ht="15.75" customHeight="1">
      <c r="A50" s="4"/>
      <c r="B50" s="4"/>
      <c r="C50" s="4"/>
      <c r="D50" s="4"/>
      <c r="E50" s="260"/>
      <c r="F50" s="4"/>
      <c r="G50" s="4"/>
      <c r="H50" s="4"/>
      <c r="I50" s="4"/>
      <c r="J50" s="4"/>
      <c r="K50" s="4"/>
      <c r="L50" s="4"/>
    </row>
    <row r="51" ht="15.75" customHeight="1">
      <c r="A51" s="4"/>
      <c r="B51" s="4"/>
      <c r="C51" s="4"/>
      <c r="D51" s="4"/>
      <c r="E51" s="260"/>
      <c r="F51" s="4"/>
      <c r="G51" s="4"/>
      <c r="H51" s="4"/>
      <c r="I51" s="4"/>
      <c r="J51" s="4"/>
      <c r="K51" s="4"/>
      <c r="L51" s="4"/>
    </row>
    <row r="52" ht="15.75" customHeight="1">
      <c r="A52" s="4"/>
      <c r="B52" s="4"/>
      <c r="C52" s="4"/>
      <c r="D52" s="4"/>
      <c r="E52" s="260"/>
      <c r="F52" s="4"/>
      <c r="G52" s="4"/>
      <c r="H52" s="4"/>
      <c r="I52" s="4"/>
      <c r="J52" s="4"/>
      <c r="K52" s="4"/>
      <c r="L52" s="4"/>
    </row>
    <row r="53" ht="15.75" customHeight="1">
      <c r="A53" s="4"/>
      <c r="B53" s="4"/>
      <c r="C53" s="4"/>
      <c r="D53" s="4"/>
      <c r="E53" s="260"/>
      <c r="F53" s="4"/>
      <c r="G53" s="4"/>
      <c r="H53" s="4"/>
      <c r="I53" s="4"/>
      <c r="J53" s="4"/>
      <c r="K53" s="4"/>
      <c r="L53" s="4"/>
    </row>
    <row r="54" ht="15.75" customHeight="1">
      <c r="A54" s="4"/>
      <c r="B54" s="4"/>
      <c r="C54" s="4"/>
      <c r="D54" s="4"/>
      <c r="E54" s="260"/>
      <c r="F54" s="4"/>
      <c r="G54" s="4"/>
      <c r="H54" s="4"/>
      <c r="I54" s="4"/>
      <c r="J54" s="4"/>
      <c r="K54" s="4"/>
      <c r="L54" s="4"/>
    </row>
    <row r="55" ht="15.75" customHeight="1">
      <c r="A55" s="4"/>
      <c r="B55" s="4"/>
      <c r="C55" s="4"/>
      <c r="D55" s="4"/>
      <c r="E55" s="260"/>
      <c r="F55" s="4"/>
      <c r="G55" s="4"/>
      <c r="H55" s="4"/>
      <c r="I55" s="4"/>
      <c r="J55" s="4"/>
      <c r="K55" s="4"/>
      <c r="L55" s="4"/>
    </row>
    <row r="56" ht="15.75" customHeight="1">
      <c r="A56" s="4"/>
      <c r="B56" s="4"/>
      <c r="C56" s="4"/>
      <c r="D56" s="4"/>
      <c r="E56" s="260"/>
      <c r="F56" s="4"/>
      <c r="G56" s="4"/>
      <c r="H56" s="4"/>
      <c r="I56" s="4"/>
      <c r="J56" s="4"/>
      <c r="K56" s="4"/>
      <c r="L56" s="4"/>
    </row>
    <row r="57" ht="15.75" customHeight="1">
      <c r="A57" s="4"/>
      <c r="B57" s="4"/>
      <c r="C57" s="4"/>
      <c r="D57" s="4"/>
      <c r="E57" s="260"/>
      <c r="F57" s="4"/>
      <c r="G57" s="4"/>
      <c r="H57" s="4"/>
      <c r="I57" s="4"/>
      <c r="J57" s="4"/>
      <c r="K57" s="4"/>
      <c r="L57" s="4"/>
    </row>
    <row r="58" ht="15.75" customHeight="1">
      <c r="A58" s="4"/>
      <c r="B58" s="4"/>
      <c r="C58" s="4"/>
      <c r="D58" s="4"/>
      <c r="E58" s="260"/>
      <c r="F58" s="4"/>
      <c r="G58" s="4"/>
      <c r="H58" s="4"/>
      <c r="I58" s="4"/>
      <c r="J58" s="4"/>
      <c r="K58" s="4"/>
      <c r="L58" s="4"/>
    </row>
    <row r="59" ht="15.75" customHeight="1">
      <c r="A59" s="4"/>
      <c r="B59" s="4"/>
      <c r="C59" s="4"/>
      <c r="D59" s="4"/>
      <c r="E59" s="260"/>
      <c r="F59" s="4"/>
      <c r="G59" s="4"/>
      <c r="H59" s="4"/>
      <c r="I59" s="4"/>
      <c r="J59" s="4"/>
      <c r="K59" s="4"/>
      <c r="L59" s="4"/>
    </row>
    <row r="60" ht="15.75" customHeight="1">
      <c r="A60" s="4"/>
      <c r="B60" s="4"/>
      <c r="C60" s="4"/>
      <c r="D60" s="4"/>
      <c r="E60" s="260"/>
      <c r="F60" s="4"/>
      <c r="G60" s="4"/>
      <c r="H60" s="4"/>
      <c r="I60" s="4"/>
      <c r="J60" s="4"/>
      <c r="K60" s="4"/>
      <c r="L60" s="4"/>
    </row>
    <row r="61" ht="15.75" customHeight="1">
      <c r="A61" s="4"/>
      <c r="B61" s="4"/>
      <c r="C61" s="4"/>
      <c r="D61" s="4"/>
      <c r="E61" s="260"/>
      <c r="F61" s="4"/>
      <c r="G61" s="4"/>
      <c r="H61" s="4"/>
      <c r="I61" s="4"/>
      <c r="J61" s="4"/>
      <c r="K61" s="4"/>
      <c r="L61" s="4"/>
    </row>
    <row r="62" ht="15.75" customHeight="1">
      <c r="A62" s="4"/>
      <c r="B62" s="4"/>
      <c r="C62" s="4"/>
      <c r="D62" s="4"/>
      <c r="E62" s="260"/>
      <c r="F62" s="4"/>
      <c r="G62" s="4"/>
      <c r="H62" s="4"/>
      <c r="I62" s="4"/>
      <c r="J62" s="4"/>
      <c r="K62" s="4"/>
      <c r="L62" s="4"/>
    </row>
    <row r="63" ht="15.75" customHeight="1">
      <c r="A63" s="4"/>
      <c r="B63" s="4"/>
      <c r="C63" s="4"/>
      <c r="D63" s="4"/>
      <c r="E63" s="260"/>
      <c r="F63" s="4"/>
      <c r="G63" s="4"/>
      <c r="H63" s="4"/>
      <c r="I63" s="4"/>
      <c r="J63" s="4"/>
      <c r="K63" s="4"/>
      <c r="L63" s="4"/>
    </row>
    <row r="64" ht="15.75" customHeight="1">
      <c r="A64" s="4"/>
      <c r="B64" s="4"/>
      <c r="C64" s="4"/>
      <c r="D64" s="4"/>
      <c r="E64" s="260"/>
      <c r="F64" s="4"/>
      <c r="G64" s="4"/>
      <c r="H64" s="4"/>
      <c r="I64" s="4"/>
      <c r="J64" s="4"/>
      <c r="K64" s="4"/>
      <c r="L64" s="4"/>
    </row>
    <row r="65" ht="15.75" customHeight="1">
      <c r="A65" s="4"/>
      <c r="B65" s="4"/>
      <c r="C65" s="4"/>
      <c r="D65" s="4"/>
      <c r="E65" s="260"/>
      <c r="F65" s="4"/>
      <c r="G65" s="4"/>
      <c r="H65" s="4"/>
      <c r="I65" s="4"/>
      <c r="J65" s="4"/>
      <c r="K65" s="4"/>
      <c r="L65" s="4"/>
    </row>
    <row r="66" ht="15.75" customHeight="1">
      <c r="A66" s="4"/>
      <c r="B66" s="4"/>
      <c r="C66" s="4"/>
      <c r="D66" s="4"/>
      <c r="E66" s="260"/>
      <c r="F66" s="4"/>
      <c r="G66" s="4"/>
      <c r="H66" s="4"/>
      <c r="I66" s="4"/>
      <c r="J66" s="4"/>
      <c r="K66" s="4"/>
      <c r="L66" s="4"/>
    </row>
    <row r="67" ht="15.75" customHeight="1">
      <c r="A67" s="4"/>
      <c r="B67" s="4"/>
      <c r="C67" s="4"/>
      <c r="D67" s="4"/>
      <c r="E67" s="260"/>
      <c r="F67" s="4"/>
      <c r="G67" s="4"/>
      <c r="H67" s="4"/>
      <c r="I67" s="4"/>
      <c r="J67" s="4"/>
    </row>
    <row r="68" ht="15.75" customHeight="1">
      <c r="A68" s="4"/>
      <c r="B68" s="4"/>
      <c r="C68" s="4"/>
      <c r="D68" s="4"/>
      <c r="E68" s="260"/>
      <c r="F68" s="4"/>
      <c r="G68" s="4"/>
      <c r="H68" s="4"/>
      <c r="I68" s="4"/>
      <c r="J68" s="4"/>
    </row>
    <row r="69" ht="15.75" customHeight="1">
      <c r="A69" s="4"/>
      <c r="B69" s="4"/>
      <c r="C69" s="4"/>
      <c r="D69" s="4"/>
      <c r="E69" s="260"/>
      <c r="F69" s="4"/>
      <c r="G69" s="4"/>
      <c r="H69" s="4"/>
      <c r="I69" s="4"/>
      <c r="J69" s="4"/>
    </row>
    <row r="70" ht="15.75" customHeight="1">
      <c r="A70" s="4"/>
      <c r="B70" s="4"/>
      <c r="C70" s="4"/>
      <c r="D70" s="4"/>
      <c r="E70" s="260"/>
      <c r="F70" s="4"/>
      <c r="G70" s="4"/>
      <c r="H70" s="4"/>
      <c r="I70" s="4"/>
      <c r="J70" s="4"/>
    </row>
    <row r="71" ht="15.75" customHeight="1">
      <c r="A71" s="4"/>
      <c r="B71" s="4"/>
      <c r="C71" s="4"/>
      <c r="D71" s="4"/>
      <c r="E71" s="260"/>
      <c r="F71" s="4"/>
      <c r="G71" s="4"/>
      <c r="H71" s="4"/>
      <c r="I71" s="4"/>
      <c r="J71" s="4"/>
    </row>
    <row r="72" ht="15.75" customHeight="1">
      <c r="A72" s="4"/>
      <c r="B72" s="4"/>
      <c r="C72" s="4"/>
      <c r="D72" s="4"/>
      <c r="E72" s="260"/>
      <c r="F72" s="4"/>
      <c r="G72" s="4"/>
      <c r="H72" s="4"/>
      <c r="I72" s="4"/>
      <c r="J72" s="4"/>
    </row>
    <row r="73" ht="15.75" customHeight="1">
      <c r="A73" s="4"/>
      <c r="B73" s="4"/>
      <c r="C73" s="4"/>
      <c r="D73" s="4"/>
      <c r="E73" s="260"/>
      <c r="F73" s="4"/>
      <c r="G73" s="4"/>
      <c r="H73" s="4"/>
      <c r="I73" s="4"/>
      <c r="J73" s="4"/>
    </row>
    <row r="74" ht="15.75" customHeight="1">
      <c r="A74" s="4"/>
      <c r="B74" s="4"/>
      <c r="C74" s="4"/>
      <c r="D74" s="4"/>
      <c r="E74" s="260"/>
      <c r="F74" s="4"/>
      <c r="G74" s="4"/>
      <c r="H74" s="4"/>
      <c r="I74" s="4"/>
      <c r="J74" s="4"/>
    </row>
    <row r="75" ht="15.75" customHeight="1">
      <c r="A75" s="4"/>
      <c r="B75" s="4"/>
      <c r="C75" s="4"/>
      <c r="D75" s="4"/>
      <c r="E75" s="260"/>
      <c r="F75" s="4"/>
      <c r="G75" s="4"/>
      <c r="H75" s="4"/>
      <c r="I75" s="4"/>
      <c r="J75" s="4"/>
    </row>
    <row r="76" ht="15.75" customHeight="1">
      <c r="A76" s="4"/>
      <c r="B76" s="4"/>
      <c r="C76" s="4"/>
      <c r="D76" s="4"/>
      <c r="E76" s="260"/>
      <c r="F76" s="4"/>
      <c r="G76" s="4"/>
      <c r="H76" s="4"/>
      <c r="I76" s="4"/>
      <c r="J76" s="4"/>
    </row>
    <row r="77" ht="15.75" customHeight="1">
      <c r="A77" s="4"/>
      <c r="B77" s="4"/>
      <c r="C77" s="4"/>
      <c r="D77" s="4"/>
      <c r="E77" s="260"/>
      <c r="F77" s="4"/>
      <c r="G77" s="4"/>
      <c r="H77" s="4"/>
      <c r="I77" s="4"/>
      <c r="J77" s="4"/>
    </row>
    <row r="78" ht="15.75" customHeight="1">
      <c r="A78" s="4"/>
      <c r="B78" s="4"/>
      <c r="C78" s="4"/>
      <c r="D78" s="4"/>
      <c r="E78" s="260"/>
      <c r="F78" s="4"/>
      <c r="G78" s="4"/>
      <c r="H78" s="4"/>
      <c r="I78" s="4"/>
      <c r="J78" s="4"/>
    </row>
    <row r="79" ht="15.75" customHeight="1">
      <c r="A79" s="4"/>
      <c r="B79" s="4"/>
      <c r="C79" s="4"/>
      <c r="D79" s="4"/>
      <c r="E79" s="260"/>
      <c r="F79" s="4"/>
      <c r="G79" s="4"/>
      <c r="H79" s="4"/>
      <c r="I79" s="4"/>
      <c r="J79" s="4"/>
    </row>
    <row r="80" ht="15.75" customHeight="1">
      <c r="A80" s="4"/>
      <c r="B80" s="4"/>
      <c r="C80" s="4"/>
      <c r="D80" s="4"/>
      <c r="E80" s="260"/>
      <c r="F80" s="4"/>
      <c r="G80" s="4"/>
      <c r="H80" s="4"/>
      <c r="I80" s="4"/>
      <c r="J80" s="4"/>
    </row>
    <row r="81" ht="15.75" customHeight="1">
      <c r="A81" s="4"/>
      <c r="B81" s="4"/>
      <c r="C81" s="4"/>
      <c r="D81" s="4"/>
      <c r="E81" s="260"/>
      <c r="F81" s="4"/>
      <c r="G81" s="4"/>
      <c r="H81" s="4"/>
      <c r="I81" s="4"/>
      <c r="J81" s="4"/>
    </row>
    <row r="82" ht="15.75" customHeight="1">
      <c r="A82" s="4"/>
      <c r="B82" s="4"/>
      <c r="C82" s="4"/>
      <c r="D82" s="4"/>
      <c r="E82" s="260"/>
      <c r="F82" s="4"/>
      <c r="G82" s="4"/>
      <c r="H82" s="4"/>
      <c r="I82" s="4"/>
      <c r="J82" s="4"/>
    </row>
    <row r="83" ht="15.75" customHeight="1">
      <c r="A83" s="4"/>
      <c r="B83" s="4"/>
      <c r="C83" s="4"/>
      <c r="D83" s="4"/>
      <c r="E83" s="260"/>
      <c r="F83" s="4"/>
      <c r="G83" s="4"/>
      <c r="H83" s="4"/>
      <c r="I83" s="4"/>
      <c r="J83" s="4"/>
    </row>
    <row r="84" ht="15.75" customHeight="1">
      <c r="A84" s="4"/>
      <c r="B84" s="4"/>
      <c r="C84" s="4"/>
      <c r="D84" s="4"/>
      <c r="E84" s="260"/>
      <c r="F84" s="4"/>
      <c r="G84" s="4"/>
      <c r="H84" s="4"/>
      <c r="I84" s="4"/>
      <c r="J84" s="4"/>
    </row>
    <row r="85" ht="15.75" customHeight="1">
      <c r="A85" s="4"/>
      <c r="B85" s="4"/>
      <c r="C85" s="4"/>
      <c r="D85" s="4"/>
      <c r="E85" s="260"/>
      <c r="F85" s="4"/>
      <c r="G85" s="4"/>
      <c r="H85" s="4"/>
      <c r="I85" s="4"/>
      <c r="J85" s="4"/>
    </row>
    <row r="86" ht="15.75" customHeight="1">
      <c r="A86" s="4"/>
      <c r="B86" s="4"/>
      <c r="C86" s="4"/>
      <c r="D86" s="4"/>
      <c r="E86" s="260"/>
      <c r="F86" s="4"/>
      <c r="G86" s="4"/>
      <c r="H86" s="4"/>
      <c r="I86" s="4"/>
      <c r="J86" s="4"/>
    </row>
    <row r="87" ht="15.75" customHeight="1">
      <c r="A87" s="4"/>
      <c r="B87" s="4"/>
      <c r="C87" s="4"/>
      <c r="D87" s="4"/>
      <c r="E87" s="260"/>
      <c r="F87" s="4"/>
      <c r="G87" s="4"/>
      <c r="H87" s="4"/>
      <c r="I87" s="4"/>
      <c r="J87" s="4"/>
    </row>
    <row r="88" ht="15.75" customHeight="1">
      <c r="A88" s="4"/>
      <c r="B88" s="4"/>
      <c r="C88" s="4"/>
      <c r="D88" s="4"/>
      <c r="E88" s="260"/>
      <c r="F88" s="4"/>
      <c r="G88" s="4"/>
      <c r="H88" s="4"/>
      <c r="I88" s="4"/>
      <c r="J88" s="4"/>
    </row>
    <row r="89" ht="15.75" customHeight="1">
      <c r="A89" s="4"/>
      <c r="B89" s="4"/>
      <c r="C89" s="4"/>
      <c r="D89" s="4"/>
      <c r="E89" s="260"/>
      <c r="F89" s="4"/>
      <c r="G89" s="4"/>
      <c r="H89" s="4"/>
      <c r="I89" s="4"/>
      <c r="J89" s="4"/>
    </row>
    <row r="90" ht="15.75" customHeight="1">
      <c r="A90" s="4"/>
      <c r="B90" s="4"/>
      <c r="C90" s="4"/>
      <c r="D90" s="4"/>
      <c r="E90" s="260"/>
      <c r="F90" s="4"/>
      <c r="G90" s="4"/>
      <c r="H90" s="4"/>
      <c r="I90" s="4"/>
      <c r="J90" s="4"/>
    </row>
    <row r="91" ht="15.75" customHeight="1">
      <c r="A91" s="4"/>
      <c r="B91" s="4"/>
      <c r="C91" s="4"/>
      <c r="D91" s="4"/>
      <c r="E91" s="260"/>
      <c r="F91" s="4"/>
      <c r="G91" s="4"/>
      <c r="H91" s="4"/>
      <c r="I91" s="4"/>
      <c r="J91" s="4"/>
    </row>
    <row r="92" ht="15.75" customHeight="1">
      <c r="A92" s="4"/>
      <c r="B92" s="4"/>
      <c r="C92" s="4"/>
      <c r="D92" s="4"/>
      <c r="E92" s="260"/>
      <c r="F92" s="4"/>
      <c r="G92" s="4"/>
      <c r="H92" s="4"/>
      <c r="I92" s="4"/>
      <c r="J92" s="4"/>
    </row>
    <row r="93" ht="15.75" customHeight="1">
      <c r="A93" s="4"/>
      <c r="B93" s="4"/>
      <c r="C93" s="4"/>
      <c r="D93" s="4"/>
      <c r="E93" s="260"/>
      <c r="F93" s="4"/>
      <c r="G93" s="4"/>
      <c r="H93" s="4"/>
      <c r="I93" s="4"/>
      <c r="J93" s="4"/>
    </row>
    <row r="94" ht="15.75" customHeight="1">
      <c r="A94" s="4"/>
      <c r="B94" s="4"/>
      <c r="C94" s="4"/>
      <c r="D94" s="4"/>
      <c r="E94" s="260"/>
      <c r="F94" s="4"/>
      <c r="G94" s="4"/>
      <c r="H94" s="4"/>
      <c r="I94" s="4"/>
      <c r="J94" s="4"/>
    </row>
    <row r="95" ht="15.75" customHeight="1">
      <c r="A95" s="4"/>
      <c r="B95" s="4"/>
      <c r="C95" s="4"/>
      <c r="D95" s="4"/>
      <c r="E95" s="260"/>
      <c r="F95" s="4"/>
      <c r="G95" s="4"/>
      <c r="H95" s="4"/>
      <c r="I95" s="4"/>
      <c r="J95" s="4"/>
    </row>
    <row r="96" ht="15.75" customHeight="1">
      <c r="A96" s="4"/>
      <c r="B96" s="4"/>
      <c r="C96" s="4"/>
      <c r="D96" s="4"/>
      <c r="E96" s="260"/>
      <c r="F96" s="4"/>
      <c r="G96" s="4"/>
      <c r="H96" s="4"/>
      <c r="I96" s="4"/>
      <c r="J96" s="4"/>
    </row>
    <row r="97" ht="15.75" customHeight="1">
      <c r="A97" s="4"/>
      <c r="B97" s="4"/>
      <c r="C97" s="4"/>
      <c r="D97" s="4"/>
      <c r="E97" s="260"/>
      <c r="F97" s="4"/>
      <c r="G97" s="4"/>
      <c r="H97" s="4"/>
      <c r="I97" s="4"/>
      <c r="J97" s="4"/>
    </row>
    <row r="98" ht="15.75" customHeight="1">
      <c r="A98" s="4"/>
      <c r="B98" s="4"/>
      <c r="C98" s="4"/>
      <c r="D98" s="4"/>
      <c r="E98" s="260"/>
      <c r="F98" s="4"/>
      <c r="G98" s="4"/>
      <c r="H98" s="4"/>
      <c r="I98" s="4"/>
      <c r="J98" s="4"/>
    </row>
    <row r="99" ht="15.75" customHeight="1">
      <c r="A99" s="4"/>
      <c r="B99" s="4"/>
      <c r="C99" s="4"/>
      <c r="D99" s="4"/>
      <c r="E99" s="260"/>
      <c r="F99" s="4"/>
      <c r="G99" s="4"/>
      <c r="H99" s="4"/>
      <c r="I99" s="4"/>
      <c r="J99" s="4"/>
    </row>
    <row r="100" ht="15.75" customHeight="1">
      <c r="A100" s="4"/>
      <c r="B100" s="4"/>
      <c r="C100" s="4"/>
      <c r="D100" s="4"/>
      <c r="E100" s="260"/>
      <c r="F100" s="4"/>
      <c r="G100" s="4"/>
      <c r="H100" s="4"/>
      <c r="I100" s="4"/>
      <c r="J100" s="4"/>
    </row>
    <row r="101" ht="15.75" customHeight="1">
      <c r="A101" s="4"/>
      <c r="B101" s="4"/>
      <c r="C101" s="4"/>
      <c r="D101" s="4"/>
      <c r="E101" s="260"/>
      <c r="F101" s="4"/>
      <c r="G101" s="4"/>
      <c r="H101" s="4"/>
      <c r="I101" s="4"/>
      <c r="J101" s="4"/>
    </row>
    <row r="102" ht="15.75" customHeight="1">
      <c r="A102" s="4"/>
      <c r="B102" s="4"/>
      <c r="C102" s="4"/>
      <c r="D102" s="4"/>
      <c r="E102" s="260"/>
      <c r="F102" s="4"/>
      <c r="G102" s="4"/>
      <c r="H102" s="4"/>
      <c r="I102" s="4"/>
      <c r="J102" s="4"/>
    </row>
    <row r="103" ht="15.75" customHeight="1">
      <c r="A103" s="4"/>
      <c r="B103" s="4"/>
      <c r="C103" s="4"/>
      <c r="D103" s="4"/>
      <c r="E103" s="260"/>
      <c r="F103" s="4"/>
      <c r="G103" s="4"/>
      <c r="H103" s="4"/>
      <c r="I103" s="4"/>
      <c r="J103" s="4"/>
    </row>
    <row r="104" ht="15.75" customHeight="1">
      <c r="A104" s="4"/>
      <c r="B104" s="4"/>
      <c r="C104" s="4"/>
      <c r="D104" s="4"/>
      <c r="E104" s="260"/>
      <c r="F104" s="4"/>
      <c r="G104" s="4"/>
      <c r="H104" s="4"/>
      <c r="I104" s="4"/>
      <c r="J104" s="4"/>
    </row>
    <row r="105" ht="15.75" customHeight="1">
      <c r="A105" s="4"/>
      <c r="B105" s="4"/>
      <c r="C105" s="4"/>
      <c r="D105" s="4"/>
      <c r="E105" s="260"/>
      <c r="F105" s="4"/>
      <c r="G105" s="4"/>
      <c r="H105" s="4"/>
      <c r="I105" s="4"/>
      <c r="J105" s="4"/>
    </row>
    <row r="106" ht="15.75" customHeight="1">
      <c r="A106" s="4"/>
      <c r="B106" s="4"/>
      <c r="C106" s="4"/>
      <c r="D106" s="4"/>
      <c r="E106" s="260"/>
      <c r="F106" s="4"/>
      <c r="G106" s="4"/>
      <c r="H106" s="4"/>
      <c r="I106" s="4"/>
      <c r="J106" s="4"/>
    </row>
    <row r="107" ht="15.75" customHeight="1">
      <c r="A107" s="4"/>
      <c r="B107" s="4"/>
      <c r="C107" s="4"/>
      <c r="D107" s="4"/>
      <c r="E107" s="260"/>
      <c r="F107" s="4"/>
      <c r="G107" s="4"/>
      <c r="H107" s="4"/>
      <c r="I107" s="4"/>
      <c r="J107" s="4"/>
    </row>
    <row r="108" ht="15.75" customHeight="1">
      <c r="A108" s="4"/>
      <c r="B108" s="4"/>
      <c r="C108" s="4"/>
      <c r="D108" s="4"/>
      <c r="E108" s="260"/>
      <c r="F108" s="4"/>
      <c r="G108" s="4"/>
      <c r="H108" s="4"/>
      <c r="I108" s="4"/>
      <c r="J108" s="4"/>
    </row>
    <row r="109" ht="15.75" customHeight="1">
      <c r="A109" s="4"/>
      <c r="B109" s="4"/>
      <c r="C109" s="4"/>
      <c r="D109" s="4"/>
      <c r="E109" s="260"/>
      <c r="F109" s="4"/>
      <c r="G109" s="4"/>
      <c r="H109" s="4"/>
      <c r="I109" s="4"/>
      <c r="J109" s="4"/>
    </row>
    <row r="110" ht="15.75" customHeight="1">
      <c r="A110" s="4"/>
      <c r="B110" s="4"/>
      <c r="C110" s="4"/>
      <c r="D110" s="4"/>
      <c r="E110" s="260"/>
      <c r="F110" s="4"/>
      <c r="G110" s="4"/>
      <c r="H110" s="4"/>
      <c r="I110" s="4"/>
      <c r="J110" s="4"/>
    </row>
    <row r="111" ht="15.75" customHeight="1">
      <c r="A111" s="4"/>
      <c r="B111" s="4"/>
      <c r="C111" s="4"/>
      <c r="D111" s="4"/>
      <c r="E111" s="260"/>
      <c r="F111" s="4"/>
      <c r="G111" s="4"/>
      <c r="H111" s="4"/>
      <c r="I111" s="4"/>
      <c r="J111" s="4"/>
    </row>
    <row r="112" ht="15.75" customHeight="1">
      <c r="A112" s="4"/>
      <c r="B112" s="4"/>
      <c r="C112" s="4"/>
      <c r="D112" s="4"/>
      <c r="E112" s="260"/>
      <c r="F112" s="4"/>
      <c r="G112" s="4"/>
      <c r="H112" s="4"/>
      <c r="I112" s="4"/>
      <c r="J112" s="4"/>
    </row>
    <row r="113" ht="15.75" customHeight="1">
      <c r="A113" s="4"/>
      <c r="B113" s="4"/>
      <c r="C113" s="4"/>
      <c r="D113" s="4"/>
      <c r="E113" s="260"/>
      <c r="F113" s="4"/>
      <c r="G113" s="4"/>
      <c r="H113" s="4"/>
      <c r="I113" s="4"/>
      <c r="J113" s="4"/>
    </row>
    <row r="114" ht="15.75" customHeight="1">
      <c r="A114" s="4"/>
      <c r="B114" s="4"/>
      <c r="C114" s="4"/>
      <c r="D114" s="4"/>
      <c r="E114" s="260"/>
      <c r="F114" s="4"/>
      <c r="G114" s="4"/>
      <c r="H114" s="4"/>
      <c r="I114" s="4"/>
      <c r="J114" s="4"/>
    </row>
    <row r="115" ht="15.75" customHeight="1">
      <c r="A115" s="4"/>
      <c r="B115" s="4"/>
      <c r="C115" s="4"/>
      <c r="D115" s="4"/>
      <c r="E115" s="260"/>
      <c r="F115" s="4"/>
      <c r="G115" s="4"/>
      <c r="H115" s="4"/>
      <c r="I115" s="4"/>
      <c r="J115" s="4"/>
    </row>
    <row r="116" ht="15.75" customHeight="1">
      <c r="A116" s="4"/>
      <c r="B116" s="4"/>
      <c r="C116" s="4"/>
      <c r="D116" s="4"/>
      <c r="E116" s="260"/>
      <c r="F116" s="4"/>
      <c r="G116" s="4"/>
      <c r="H116" s="4"/>
      <c r="I116" s="4"/>
      <c r="J116" s="4"/>
    </row>
    <row r="117" ht="15.75" customHeight="1">
      <c r="A117" s="4"/>
      <c r="B117" s="4"/>
      <c r="C117" s="4"/>
      <c r="D117" s="4"/>
      <c r="E117" s="260"/>
      <c r="F117" s="4"/>
      <c r="G117" s="4"/>
      <c r="H117" s="4"/>
      <c r="I117" s="4"/>
      <c r="J117" s="4"/>
    </row>
    <row r="118" ht="15.75" customHeight="1">
      <c r="A118" s="4"/>
      <c r="B118" s="4"/>
      <c r="C118" s="4"/>
      <c r="D118" s="4"/>
      <c r="E118" s="260"/>
      <c r="F118" s="4"/>
      <c r="G118" s="4"/>
      <c r="H118" s="4"/>
      <c r="I118" s="4"/>
      <c r="J118" s="4"/>
    </row>
    <row r="119" ht="15.75" customHeight="1">
      <c r="A119" s="4"/>
      <c r="B119" s="4"/>
      <c r="C119" s="4"/>
      <c r="D119" s="4"/>
      <c r="E119" s="260"/>
      <c r="F119" s="4"/>
      <c r="G119" s="4"/>
      <c r="H119" s="4"/>
      <c r="I119" s="4"/>
      <c r="J119" s="4"/>
    </row>
    <row r="120" ht="15.75" customHeight="1">
      <c r="A120" s="4"/>
      <c r="B120" s="4"/>
      <c r="C120" s="4"/>
      <c r="D120" s="4"/>
      <c r="E120" s="260"/>
      <c r="F120" s="4"/>
      <c r="G120" s="4"/>
      <c r="H120" s="4"/>
      <c r="I120" s="4"/>
      <c r="J120" s="4"/>
    </row>
    <row r="121" ht="15.75" customHeight="1">
      <c r="A121" s="4"/>
      <c r="B121" s="4"/>
      <c r="C121" s="4"/>
      <c r="D121" s="4"/>
      <c r="E121" s="260"/>
      <c r="F121" s="4"/>
      <c r="G121" s="4"/>
      <c r="H121" s="4"/>
      <c r="I121" s="4"/>
      <c r="J121" s="4"/>
    </row>
    <row r="122" ht="15.75" customHeight="1">
      <c r="A122" s="4"/>
      <c r="B122" s="4"/>
      <c r="C122" s="4"/>
      <c r="D122" s="4"/>
      <c r="E122" s="260"/>
      <c r="F122" s="4"/>
      <c r="G122" s="4"/>
      <c r="H122" s="4"/>
      <c r="I122" s="4"/>
      <c r="J122" s="4"/>
    </row>
    <row r="123" ht="15.75" customHeight="1">
      <c r="A123" s="4"/>
      <c r="B123" s="4"/>
      <c r="C123" s="4"/>
      <c r="D123" s="4"/>
      <c r="E123" s="260"/>
      <c r="F123" s="4"/>
      <c r="G123" s="4"/>
      <c r="H123" s="4"/>
      <c r="I123" s="4"/>
      <c r="J123" s="4"/>
    </row>
    <row r="124" ht="15.75" customHeight="1">
      <c r="A124" s="4"/>
      <c r="B124" s="4"/>
      <c r="C124" s="4"/>
      <c r="D124" s="4"/>
      <c r="E124" s="260"/>
      <c r="F124" s="4"/>
      <c r="G124" s="4"/>
      <c r="H124" s="4"/>
      <c r="I124" s="4"/>
      <c r="J124" s="4"/>
    </row>
    <row r="125" ht="15.75" customHeight="1">
      <c r="A125" s="4"/>
      <c r="B125" s="4"/>
      <c r="C125" s="4"/>
      <c r="D125" s="4"/>
      <c r="E125" s="260"/>
      <c r="F125" s="4"/>
      <c r="G125" s="4"/>
      <c r="H125" s="4"/>
      <c r="I125" s="4"/>
      <c r="J125" s="4"/>
    </row>
    <row r="126" ht="15.75" customHeight="1">
      <c r="A126" s="4"/>
      <c r="B126" s="4"/>
      <c r="C126" s="4"/>
      <c r="D126" s="4"/>
      <c r="E126" s="260"/>
      <c r="F126" s="4"/>
      <c r="G126" s="4"/>
      <c r="H126" s="4"/>
      <c r="I126" s="4"/>
      <c r="J126" s="4"/>
    </row>
    <row r="127" ht="15.75" customHeight="1">
      <c r="A127" s="4"/>
      <c r="B127" s="4"/>
      <c r="C127" s="4"/>
      <c r="D127" s="4"/>
      <c r="E127" s="260"/>
      <c r="F127" s="4"/>
      <c r="G127" s="4"/>
      <c r="H127" s="4"/>
      <c r="I127" s="4"/>
      <c r="J127" s="4"/>
    </row>
    <row r="128" ht="15.75" customHeight="1">
      <c r="A128" s="4"/>
      <c r="B128" s="4"/>
      <c r="C128" s="4"/>
      <c r="D128" s="4"/>
      <c r="E128" s="260"/>
      <c r="F128" s="4"/>
      <c r="G128" s="4"/>
      <c r="H128" s="4"/>
      <c r="I128" s="4"/>
      <c r="J128" s="4"/>
    </row>
    <row r="129" ht="15.75" customHeight="1">
      <c r="A129" s="4"/>
      <c r="B129" s="4"/>
      <c r="C129" s="4"/>
      <c r="D129" s="4"/>
      <c r="E129" s="260"/>
      <c r="F129" s="4"/>
      <c r="G129" s="4"/>
      <c r="H129" s="4"/>
      <c r="I129" s="4"/>
      <c r="J129" s="4"/>
    </row>
    <row r="130" ht="15.75" customHeight="1">
      <c r="A130" s="4"/>
      <c r="B130" s="4"/>
      <c r="C130" s="4"/>
      <c r="D130" s="4"/>
      <c r="E130" s="260"/>
      <c r="F130" s="4"/>
      <c r="G130" s="4"/>
      <c r="H130" s="4"/>
      <c r="I130" s="4"/>
      <c r="J130" s="4"/>
    </row>
    <row r="131" ht="15.75" customHeight="1">
      <c r="A131" s="4"/>
      <c r="B131" s="4"/>
      <c r="C131" s="4"/>
      <c r="D131" s="4"/>
      <c r="E131" s="260"/>
      <c r="F131" s="4"/>
      <c r="G131" s="4"/>
      <c r="H131" s="4"/>
      <c r="I131" s="4"/>
      <c r="J131" s="4"/>
    </row>
    <row r="132" ht="15.75" customHeight="1">
      <c r="A132" s="4"/>
      <c r="B132" s="4"/>
      <c r="C132" s="4"/>
      <c r="D132" s="4"/>
      <c r="E132" s="260"/>
      <c r="F132" s="4"/>
      <c r="G132" s="4"/>
      <c r="H132" s="4"/>
      <c r="I132" s="4"/>
      <c r="J132" s="4"/>
    </row>
    <row r="133" ht="15.75" customHeight="1">
      <c r="A133" s="4"/>
      <c r="B133" s="4"/>
      <c r="C133" s="4"/>
      <c r="D133" s="4"/>
      <c r="E133" s="260"/>
      <c r="F133" s="4"/>
      <c r="G133" s="4"/>
      <c r="H133" s="4"/>
      <c r="I133" s="4"/>
      <c r="J133" s="4"/>
    </row>
    <row r="134" ht="15.75" customHeight="1">
      <c r="A134" s="4"/>
      <c r="B134" s="4"/>
      <c r="C134" s="4"/>
      <c r="D134" s="4"/>
      <c r="E134" s="260"/>
      <c r="F134" s="4"/>
      <c r="G134" s="4"/>
      <c r="H134" s="4"/>
      <c r="I134" s="4"/>
      <c r="J134" s="4"/>
    </row>
    <row r="135" ht="15.75" customHeight="1">
      <c r="A135" s="4"/>
      <c r="B135" s="4"/>
      <c r="C135" s="4"/>
      <c r="D135" s="4"/>
      <c r="E135" s="260"/>
      <c r="F135" s="4"/>
      <c r="G135" s="4"/>
      <c r="H135" s="4"/>
      <c r="I135" s="4"/>
      <c r="J135" s="4"/>
    </row>
    <row r="136" ht="15.75" customHeight="1">
      <c r="A136" s="4"/>
      <c r="B136" s="4"/>
      <c r="C136" s="4"/>
      <c r="D136" s="4"/>
      <c r="E136" s="260"/>
      <c r="F136" s="4"/>
      <c r="G136" s="4"/>
      <c r="H136" s="4"/>
      <c r="I136" s="4"/>
      <c r="J136" s="4"/>
    </row>
    <row r="137" ht="15.75" customHeight="1">
      <c r="A137" s="4"/>
      <c r="B137" s="4"/>
      <c r="C137" s="4"/>
      <c r="D137" s="4"/>
      <c r="E137" s="260"/>
      <c r="F137" s="4"/>
      <c r="G137" s="4"/>
      <c r="H137" s="4"/>
      <c r="I137" s="4"/>
      <c r="J137" s="4"/>
    </row>
    <row r="138" ht="15.75" customHeight="1">
      <c r="A138" s="4"/>
      <c r="B138" s="4"/>
      <c r="C138" s="4"/>
      <c r="D138" s="4"/>
      <c r="E138" s="260"/>
      <c r="F138" s="4"/>
      <c r="G138" s="4"/>
      <c r="H138" s="4"/>
      <c r="I138" s="4"/>
      <c r="J138" s="4"/>
    </row>
    <row r="139" ht="15.75" customHeight="1">
      <c r="A139" s="4"/>
      <c r="B139" s="4"/>
      <c r="C139" s="4"/>
      <c r="D139" s="4"/>
      <c r="E139" s="260"/>
      <c r="F139" s="4"/>
      <c r="G139" s="4"/>
      <c r="H139" s="4"/>
      <c r="I139" s="4"/>
      <c r="J139" s="4"/>
    </row>
    <row r="140" ht="15.75" customHeight="1">
      <c r="A140" s="4"/>
      <c r="B140" s="4"/>
      <c r="C140" s="4"/>
      <c r="D140" s="4"/>
      <c r="E140" s="260"/>
      <c r="F140" s="4"/>
      <c r="G140" s="4"/>
      <c r="H140" s="4"/>
      <c r="I140" s="4"/>
      <c r="J140" s="4"/>
    </row>
    <row r="141" ht="15.75" customHeight="1">
      <c r="A141" s="4"/>
      <c r="B141" s="4"/>
      <c r="C141" s="4"/>
      <c r="D141" s="4"/>
      <c r="E141" s="260"/>
      <c r="F141" s="4"/>
      <c r="G141" s="4"/>
      <c r="H141" s="4"/>
      <c r="I141" s="4"/>
      <c r="J141" s="4"/>
    </row>
    <row r="142" ht="15.75" customHeight="1">
      <c r="A142" s="4"/>
      <c r="B142" s="4"/>
      <c r="C142" s="4"/>
      <c r="D142" s="4"/>
      <c r="E142" s="260"/>
      <c r="F142" s="4"/>
      <c r="G142" s="4"/>
      <c r="H142" s="4"/>
      <c r="I142" s="4"/>
      <c r="J142" s="4"/>
    </row>
    <row r="143" ht="15.75" customHeight="1">
      <c r="A143" s="4"/>
      <c r="B143" s="4"/>
      <c r="C143" s="4"/>
      <c r="D143" s="4"/>
      <c r="E143" s="260"/>
      <c r="F143" s="4"/>
      <c r="G143" s="4"/>
      <c r="H143" s="4"/>
      <c r="I143" s="4"/>
      <c r="J143" s="4"/>
    </row>
    <row r="144" ht="15.75" customHeight="1">
      <c r="A144" s="4"/>
      <c r="B144" s="4"/>
      <c r="C144" s="4"/>
      <c r="D144" s="4"/>
      <c r="E144" s="260"/>
      <c r="F144" s="4"/>
      <c r="G144" s="4"/>
      <c r="H144" s="4"/>
      <c r="I144" s="4"/>
      <c r="J144" s="4"/>
    </row>
    <row r="145" ht="15.75" customHeight="1">
      <c r="A145" s="4"/>
      <c r="B145" s="4"/>
      <c r="C145" s="4"/>
      <c r="D145" s="4"/>
      <c r="E145" s="260"/>
      <c r="F145" s="4"/>
      <c r="G145" s="4"/>
      <c r="H145" s="4"/>
      <c r="I145" s="4"/>
      <c r="J145" s="4"/>
    </row>
    <row r="146" ht="15.75" customHeight="1">
      <c r="A146" s="4"/>
      <c r="B146" s="4"/>
      <c r="C146" s="4"/>
      <c r="D146" s="4"/>
      <c r="E146" s="260"/>
      <c r="F146" s="4"/>
      <c r="G146" s="4"/>
      <c r="H146" s="4"/>
      <c r="I146" s="4"/>
      <c r="J146" s="4"/>
    </row>
    <row r="147" ht="15.75" customHeight="1">
      <c r="A147" s="4"/>
      <c r="B147" s="4"/>
      <c r="C147" s="4"/>
      <c r="D147" s="4"/>
      <c r="E147" s="260"/>
      <c r="F147" s="4"/>
      <c r="G147" s="4"/>
      <c r="H147" s="4"/>
      <c r="I147" s="4"/>
      <c r="J147" s="4"/>
    </row>
    <row r="148" ht="15.75" customHeight="1">
      <c r="A148" s="4"/>
      <c r="B148" s="4"/>
      <c r="C148" s="4"/>
      <c r="D148" s="4"/>
      <c r="E148" s="260"/>
      <c r="F148" s="4"/>
      <c r="G148" s="4"/>
      <c r="H148" s="4"/>
      <c r="I148" s="4"/>
      <c r="J148" s="4"/>
    </row>
    <row r="149" ht="15.75" customHeight="1">
      <c r="A149" s="4"/>
      <c r="B149" s="4"/>
      <c r="C149" s="4"/>
      <c r="D149" s="4"/>
      <c r="E149" s="260"/>
      <c r="F149" s="4"/>
      <c r="G149" s="4"/>
      <c r="H149" s="4"/>
      <c r="I149" s="4"/>
      <c r="J149" s="4"/>
    </row>
    <row r="150" ht="15.75" customHeight="1">
      <c r="A150" s="4"/>
      <c r="B150" s="4"/>
      <c r="C150" s="4"/>
      <c r="D150" s="4"/>
      <c r="E150" s="260"/>
      <c r="F150" s="4"/>
      <c r="G150" s="4"/>
      <c r="H150" s="4"/>
      <c r="I150" s="4"/>
      <c r="J150" s="4"/>
    </row>
    <row r="151" ht="15.75" customHeight="1">
      <c r="A151" s="4"/>
      <c r="B151" s="4"/>
      <c r="C151" s="4"/>
      <c r="D151" s="4"/>
      <c r="E151" s="260"/>
      <c r="F151" s="4"/>
      <c r="G151" s="4"/>
      <c r="H151" s="4"/>
      <c r="I151" s="4"/>
      <c r="J151" s="4"/>
    </row>
    <row r="152" ht="15.75" customHeight="1">
      <c r="A152" s="4"/>
      <c r="B152" s="4"/>
      <c r="C152" s="4"/>
      <c r="D152" s="4"/>
      <c r="E152" s="260"/>
      <c r="F152" s="4"/>
      <c r="G152" s="4"/>
      <c r="H152" s="4"/>
      <c r="I152" s="4"/>
      <c r="J152" s="4"/>
    </row>
    <row r="153" ht="15.75" customHeight="1">
      <c r="A153" s="4"/>
      <c r="B153" s="4"/>
      <c r="C153" s="4"/>
      <c r="D153" s="4"/>
      <c r="E153" s="260"/>
      <c r="F153" s="4"/>
      <c r="G153" s="4"/>
      <c r="H153" s="4"/>
      <c r="I153" s="4"/>
      <c r="J153" s="4"/>
    </row>
    <row r="154" ht="15.75" customHeight="1">
      <c r="A154" s="4"/>
      <c r="B154" s="4"/>
      <c r="C154" s="4"/>
      <c r="D154" s="4"/>
      <c r="E154" s="260"/>
      <c r="F154" s="4"/>
      <c r="G154" s="4"/>
      <c r="H154" s="4"/>
      <c r="I154" s="4"/>
      <c r="J154" s="4"/>
    </row>
    <row r="155" ht="15.75" customHeight="1">
      <c r="A155" s="4"/>
      <c r="B155" s="4"/>
      <c r="C155" s="4"/>
      <c r="D155" s="4"/>
      <c r="E155" s="260"/>
      <c r="F155" s="4"/>
      <c r="G155" s="4"/>
      <c r="H155" s="4"/>
      <c r="I155" s="4"/>
      <c r="J155" s="4"/>
    </row>
    <row r="156" ht="15.75" customHeight="1">
      <c r="A156" s="4"/>
      <c r="B156" s="4"/>
      <c r="C156" s="4"/>
      <c r="D156" s="4"/>
      <c r="E156" s="260"/>
      <c r="F156" s="4"/>
      <c r="G156" s="4"/>
      <c r="H156" s="4"/>
      <c r="I156" s="4"/>
      <c r="J156" s="4"/>
    </row>
    <row r="157" ht="15.75" customHeight="1">
      <c r="A157" s="4"/>
      <c r="B157" s="4"/>
      <c r="C157" s="4"/>
      <c r="D157" s="4"/>
      <c r="E157" s="260"/>
      <c r="F157" s="4"/>
      <c r="G157" s="4"/>
      <c r="H157" s="4"/>
      <c r="I157" s="4"/>
      <c r="J157" s="4"/>
    </row>
    <row r="158" ht="15.75" customHeight="1">
      <c r="A158" s="4"/>
      <c r="B158" s="4"/>
      <c r="C158" s="4"/>
      <c r="D158" s="4"/>
      <c r="E158" s="260"/>
      <c r="F158" s="4"/>
      <c r="G158" s="4"/>
      <c r="H158" s="4"/>
      <c r="I158" s="4"/>
      <c r="J158" s="4"/>
    </row>
    <row r="159" ht="15.75" customHeight="1">
      <c r="A159" s="4"/>
      <c r="B159" s="4"/>
      <c r="C159" s="4"/>
      <c r="D159" s="4"/>
      <c r="E159" s="260"/>
      <c r="F159" s="4"/>
      <c r="G159" s="4"/>
      <c r="H159" s="4"/>
      <c r="I159" s="4"/>
      <c r="J159" s="4"/>
    </row>
    <row r="160" ht="15.75" customHeight="1">
      <c r="A160" s="4"/>
      <c r="B160" s="4"/>
      <c r="C160" s="4"/>
      <c r="D160" s="4"/>
      <c r="E160" s="260"/>
      <c r="F160" s="4"/>
      <c r="G160" s="4"/>
      <c r="H160" s="4"/>
      <c r="I160" s="4"/>
      <c r="J160" s="4"/>
    </row>
    <row r="161" ht="15.75" customHeight="1">
      <c r="A161" s="4"/>
      <c r="B161" s="4"/>
      <c r="C161" s="4"/>
      <c r="D161" s="4"/>
      <c r="E161" s="260"/>
      <c r="F161" s="4"/>
      <c r="G161" s="4"/>
      <c r="H161" s="4"/>
      <c r="I161" s="4"/>
      <c r="J161" s="4"/>
    </row>
    <row r="162" ht="15.75" customHeight="1">
      <c r="A162" s="4"/>
      <c r="B162" s="4"/>
      <c r="C162" s="4"/>
      <c r="D162" s="4"/>
      <c r="E162" s="260"/>
      <c r="F162" s="4"/>
      <c r="G162" s="4"/>
      <c r="H162" s="4"/>
      <c r="I162" s="4"/>
      <c r="J162" s="4"/>
    </row>
    <row r="163" ht="15.75" customHeight="1">
      <c r="A163" s="4"/>
      <c r="B163" s="4"/>
      <c r="C163" s="4"/>
      <c r="D163" s="4"/>
      <c r="E163" s="260"/>
      <c r="F163" s="4"/>
      <c r="G163" s="4"/>
      <c r="H163" s="4"/>
      <c r="I163" s="4"/>
      <c r="J163" s="4"/>
    </row>
    <row r="164" ht="15.75" customHeight="1">
      <c r="A164" s="4"/>
      <c r="B164" s="4"/>
      <c r="C164" s="4"/>
      <c r="D164" s="4"/>
      <c r="E164" s="260"/>
      <c r="F164" s="4"/>
      <c r="G164" s="4"/>
      <c r="H164" s="4"/>
      <c r="I164" s="4"/>
      <c r="J164" s="4"/>
    </row>
    <row r="165" ht="15.75" customHeight="1">
      <c r="A165" s="4"/>
      <c r="B165" s="4"/>
      <c r="C165" s="4"/>
      <c r="D165" s="4"/>
      <c r="E165" s="260"/>
      <c r="F165" s="4"/>
      <c r="G165" s="4"/>
      <c r="H165" s="4"/>
      <c r="I165" s="4"/>
      <c r="J165" s="4"/>
    </row>
    <row r="166" ht="15.75" customHeight="1">
      <c r="A166" s="4"/>
      <c r="B166" s="4"/>
      <c r="C166" s="4"/>
      <c r="D166" s="4"/>
      <c r="E166" s="260"/>
      <c r="F166" s="4"/>
      <c r="G166" s="4"/>
      <c r="H166" s="4"/>
      <c r="I166" s="4"/>
      <c r="J166" s="4"/>
    </row>
    <row r="167" ht="15.75" customHeight="1">
      <c r="A167" s="4"/>
      <c r="B167" s="4"/>
      <c r="C167" s="4"/>
      <c r="D167" s="4"/>
      <c r="E167" s="260"/>
      <c r="F167" s="4"/>
      <c r="G167" s="4"/>
      <c r="H167" s="4"/>
      <c r="I167" s="4"/>
      <c r="J167" s="4"/>
    </row>
    <row r="168" ht="15.75" customHeight="1">
      <c r="A168" s="4"/>
      <c r="B168" s="4"/>
      <c r="C168" s="4"/>
      <c r="D168" s="4"/>
      <c r="E168" s="260"/>
      <c r="F168" s="4"/>
      <c r="G168" s="4"/>
      <c r="H168" s="4"/>
      <c r="I168" s="4"/>
      <c r="J168" s="4"/>
    </row>
    <row r="169" ht="15.75" customHeight="1">
      <c r="A169" s="4"/>
      <c r="B169" s="4"/>
      <c r="C169" s="4"/>
      <c r="D169" s="4"/>
      <c r="E169" s="260"/>
      <c r="F169" s="4"/>
      <c r="G169" s="4"/>
      <c r="H169" s="4"/>
      <c r="I169" s="4"/>
      <c r="J169" s="4"/>
    </row>
    <row r="170" ht="15.75" customHeight="1">
      <c r="A170" s="4"/>
      <c r="B170" s="4"/>
      <c r="C170" s="4"/>
      <c r="D170" s="4"/>
      <c r="E170" s="260"/>
      <c r="F170" s="4"/>
      <c r="G170" s="4"/>
      <c r="H170" s="4"/>
      <c r="I170" s="4"/>
      <c r="J170" s="4"/>
    </row>
    <row r="171" ht="15.75" customHeight="1">
      <c r="A171" s="4"/>
      <c r="B171" s="4"/>
      <c r="C171" s="4"/>
      <c r="D171" s="4"/>
      <c r="E171" s="260"/>
      <c r="F171" s="4"/>
      <c r="G171" s="4"/>
      <c r="H171" s="4"/>
      <c r="I171" s="4"/>
      <c r="J171" s="4"/>
    </row>
    <row r="172" ht="15.75" customHeight="1">
      <c r="A172" s="4"/>
      <c r="B172" s="4"/>
      <c r="C172" s="4"/>
      <c r="D172" s="4"/>
      <c r="E172" s="260"/>
      <c r="F172" s="4"/>
      <c r="G172" s="4"/>
      <c r="H172" s="4"/>
      <c r="I172" s="4"/>
      <c r="J172" s="4"/>
    </row>
    <row r="173" ht="15.75" customHeight="1">
      <c r="A173" s="4"/>
      <c r="B173" s="4"/>
      <c r="C173" s="4"/>
      <c r="D173" s="4"/>
      <c r="E173" s="260"/>
      <c r="F173" s="4"/>
      <c r="G173" s="4"/>
      <c r="H173" s="4"/>
      <c r="I173" s="4"/>
      <c r="J173" s="4"/>
    </row>
    <row r="174" ht="15.75" customHeight="1">
      <c r="A174" s="4"/>
      <c r="B174" s="4"/>
      <c r="C174" s="4"/>
      <c r="D174" s="4"/>
      <c r="E174" s="260"/>
      <c r="F174" s="4"/>
      <c r="G174" s="4"/>
      <c r="H174" s="4"/>
      <c r="I174" s="4"/>
      <c r="J174" s="4"/>
    </row>
    <row r="175" ht="15.75" customHeight="1">
      <c r="A175" s="4"/>
      <c r="B175" s="4"/>
      <c r="C175" s="4"/>
      <c r="D175" s="4"/>
      <c r="E175" s="260"/>
      <c r="F175" s="4"/>
      <c r="G175" s="4"/>
      <c r="H175" s="4"/>
      <c r="I175" s="4"/>
      <c r="J175" s="4"/>
    </row>
    <row r="176" ht="15.75" customHeight="1">
      <c r="A176" s="4"/>
      <c r="B176" s="4"/>
      <c r="C176" s="4"/>
      <c r="D176" s="4"/>
      <c r="E176" s="260"/>
      <c r="F176" s="4"/>
      <c r="G176" s="4"/>
      <c r="H176" s="4"/>
      <c r="I176" s="4"/>
      <c r="J176" s="4"/>
    </row>
    <row r="177" ht="15.75" customHeight="1">
      <c r="A177" s="4"/>
      <c r="B177" s="4"/>
      <c r="C177" s="4"/>
      <c r="D177" s="4"/>
      <c r="E177" s="260"/>
      <c r="F177" s="4"/>
      <c r="G177" s="4"/>
      <c r="H177" s="4"/>
      <c r="I177" s="4"/>
      <c r="J177" s="4"/>
    </row>
    <row r="178" ht="15.75" customHeight="1">
      <c r="A178" s="4"/>
      <c r="B178" s="4"/>
      <c r="C178" s="4"/>
      <c r="D178" s="4"/>
      <c r="E178" s="260"/>
      <c r="F178" s="4"/>
      <c r="G178" s="4"/>
      <c r="H178" s="4"/>
      <c r="I178" s="4"/>
      <c r="J178" s="4"/>
    </row>
    <row r="179" ht="15.75" customHeight="1">
      <c r="A179" s="4"/>
      <c r="B179" s="4"/>
      <c r="C179" s="4"/>
      <c r="D179" s="4"/>
      <c r="E179" s="260"/>
      <c r="F179" s="4"/>
      <c r="G179" s="4"/>
      <c r="H179" s="4"/>
      <c r="I179" s="4"/>
      <c r="J179" s="4"/>
    </row>
    <row r="180" ht="15.75" customHeight="1">
      <c r="A180" s="4"/>
      <c r="B180" s="4"/>
      <c r="C180" s="4"/>
      <c r="D180" s="4"/>
      <c r="E180" s="260"/>
      <c r="F180" s="4"/>
      <c r="G180" s="4"/>
      <c r="H180" s="4"/>
      <c r="I180" s="4"/>
      <c r="J180" s="4"/>
    </row>
    <row r="181" ht="15.75" customHeight="1">
      <c r="A181" s="4"/>
      <c r="B181" s="4"/>
      <c r="C181" s="4"/>
      <c r="D181" s="4"/>
      <c r="E181" s="260"/>
      <c r="F181" s="4"/>
      <c r="G181" s="4"/>
      <c r="H181" s="4"/>
      <c r="I181" s="4"/>
      <c r="J181" s="4"/>
    </row>
    <row r="182" ht="15.75" customHeight="1">
      <c r="A182" s="4"/>
      <c r="B182" s="4"/>
      <c r="C182" s="4"/>
      <c r="D182" s="4"/>
      <c r="E182" s="260"/>
      <c r="F182" s="4"/>
      <c r="G182" s="4"/>
      <c r="H182" s="4"/>
      <c r="I182" s="4"/>
      <c r="J182" s="4"/>
    </row>
    <row r="183" ht="15.75" customHeight="1">
      <c r="A183" s="4"/>
      <c r="B183" s="4"/>
      <c r="C183" s="4"/>
      <c r="D183" s="4"/>
      <c r="E183" s="260"/>
      <c r="F183" s="4"/>
      <c r="G183" s="4"/>
      <c r="H183" s="4"/>
      <c r="I183" s="4"/>
      <c r="J183" s="4"/>
    </row>
    <row r="184" ht="15.75" customHeight="1">
      <c r="A184" s="4"/>
      <c r="B184" s="4"/>
      <c r="C184" s="4"/>
      <c r="D184" s="4"/>
      <c r="E184" s="260"/>
      <c r="F184" s="4"/>
      <c r="G184" s="4"/>
      <c r="H184" s="4"/>
      <c r="I184" s="4"/>
      <c r="J184" s="4"/>
    </row>
    <row r="185" ht="15.75" customHeight="1">
      <c r="A185" s="4"/>
      <c r="B185" s="4"/>
      <c r="C185" s="4"/>
      <c r="D185" s="4"/>
      <c r="E185" s="260"/>
      <c r="F185" s="4"/>
      <c r="G185" s="4"/>
      <c r="H185" s="4"/>
      <c r="I185" s="4"/>
      <c r="J185" s="4"/>
    </row>
    <row r="186" ht="15.75" customHeight="1">
      <c r="A186" s="4"/>
      <c r="B186" s="4"/>
      <c r="C186" s="4"/>
      <c r="D186" s="4"/>
      <c r="E186" s="260"/>
      <c r="F186" s="4"/>
      <c r="G186" s="4"/>
      <c r="H186" s="4"/>
      <c r="I186" s="4"/>
      <c r="J186" s="4"/>
    </row>
    <row r="187" ht="15.75" customHeight="1">
      <c r="A187" s="4"/>
      <c r="B187" s="4"/>
      <c r="C187" s="4"/>
      <c r="D187" s="4"/>
      <c r="E187" s="260"/>
      <c r="F187" s="4"/>
      <c r="G187" s="4"/>
      <c r="H187" s="4"/>
      <c r="I187" s="4"/>
      <c r="J187" s="4"/>
    </row>
    <row r="188" ht="15.75" customHeight="1">
      <c r="A188" s="4"/>
      <c r="B188" s="4"/>
      <c r="C188" s="4"/>
      <c r="D188" s="4"/>
      <c r="E188" s="260"/>
      <c r="F188" s="4"/>
      <c r="G188" s="4"/>
      <c r="H188" s="4"/>
      <c r="I188" s="4"/>
      <c r="J188" s="4"/>
    </row>
    <row r="189" ht="15.75" customHeight="1">
      <c r="A189" s="4"/>
      <c r="B189" s="4"/>
      <c r="C189" s="4"/>
      <c r="D189" s="4"/>
      <c r="E189" s="260"/>
      <c r="F189" s="4"/>
      <c r="G189" s="4"/>
      <c r="H189" s="4"/>
      <c r="I189" s="4"/>
      <c r="J189" s="4"/>
    </row>
    <row r="190" ht="15.75" customHeight="1">
      <c r="A190" s="4"/>
      <c r="B190" s="4"/>
      <c r="C190" s="4"/>
      <c r="D190" s="4"/>
      <c r="E190" s="260"/>
      <c r="F190" s="4"/>
      <c r="G190" s="4"/>
      <c r="H190" s="4"/>
      <c r="I190" s="4"/>
      <c r="J190" s="4"/>
    </row>
    <row r="191" ht="15.75" customHeight="1">
      <c r="A191" s="4"/>
      <c r="B191" s="4"/>
      <c r="C191" s="4"/>
      <c r="D191" s="4"/>
      <c r="E191" s="260"/>
      <c r="F191" s="4"/>
      <c r="G191" s="4"/>
      <c r="H191" s="4"/>
      <c r="I191" s="4"/>
      <c r="J191" s="4"/>
    </row>
    <row r="192" ht="15.75" customHeight="1">
      <c r="A192" s="4"/>
      <c r="B192" s="4"/>
      <c r="C192" s="4"/>
      <c r="D192" s="4"/>
      <c r="E192" s="260"/>
      <c r="F192" s="4"/>
      <c r="G192" s="4"/>
      <c r="H192" s="4"/>
      <c r="I192" s="4"/>
      <c r="J192" s="4"/>
    </row>
    <row r="193" ht="15.75" customHeight="1">
      <c r="A193" s="4"/>
      <c r="B193" s="4"/>
      <c r="C193" s="4"/>
      <c r="D193" s="4"/>
      <c r="E193" s="260"/>
      <c r="F193" s="4"/>
      <c r="G193" s="4"/>
      <c r="H193" s="4"/>
      <c r="I193" s="4"/>
      <c r="J193" s="4"/>
    </row>
    <row r="194" ht="15.75" customHeight="1">
      <c r="A194" s="4"/>
      <c r="B194" s="4"/>
      <c r="C194" s="4"/>
      <c r="D194" s="4"/>
      <c r="E194" s="260"/>
      <c r="F194" s="4"/>
      <c r="G194" s="4"/>
      <c r="H194" s="4"/>
      <c r="I194" s="4"/>
      <c r="J194" s="4"/>
    </row>
    <row r="195" ht="15.75" customHeight="1">
      <c r="A195" s="4"/>
      <c r="B195" s="4"/>
      <c r="C195" s="4"/>
      <c r="D195" s="4"/>
      <c r="E195" s="260"/>
      <c r="F195" s="4"/>
      <c r="G195" s="4"/>
      <c r="H195" s="4"/>
      <c r="I195" s="4"/>
      <c r="J195" s="4"/>
    </row>
    <row r="196" ht="15.75" customHeight="1">
      <c r="A196" s="4"/>
      <c r="B196" s="4"/>
      <c r="C196" s="4"/>
      <c r="D196" s="4"/>
      <c r="E196" s="260"/>
      <c r="F196" s="4"/>
      <c r="G196" s="4"/>
      <c r="H196" s="4"/>
      <c r="I196" s="4"/>
      <c r="J196" s="4"/>
    </row>
    <row r="197" ht="15.75" customHeight="1">
      <c r="A197" s="4"/>
      <c r="B197" s="4"/>
      <c r="C197" s="4"/>
      <c r="D197" s="4"/>
      <c r="E197" s="260"/>
      <c r="F197" s="4"/>
      <c r="G197" s="4"/>
      <c r="H197" s="4"/>
      <c r="I197" s="4"/>
      <c r="J197" s="4"/>
    </row>
    <row r="198" ht="15.75" customHeight="1">
      <c r="A198" s="4"/>
      <c r="B198" s="4"/>
      <c r="C198" s="4"/>
      <c r="D198" s="4"/>
      <c r="E198" s="260"/>
      <c r="F198" s="4"/>
      <c r="G198" s="4"/>
      <c r="H198" s="4"/>
      <c r="I198" s="4"/>
      <c r="J198" s="4"/>
    </row>
    <row r="199" ht="15.75" customHeight="1">
      <c r="A199" s="4"/>
      <c r="B199" s="4"/>
      <c r="C199" s="4"/>
      <c r="D199" s="4"/>
      <c r="E199" s="260"/>
      <c r="F199" s="4"/>
      <c r="G199" s="4"/>
      <c r="H199" s="4"/>
      <c r="I199" s="4"/>
      <c r="J199" s="4"/>
    </row>
    <row r="200" ht="15.75" customHeight="1">
      <c r="A200" s="4"/>
      <c r="B200" s="4"/>
      <c r="C200" s="4"/>
      <c r="D200" s="4"/>
      <c r="E200" s="260"/>
      <c r="F200" s="4"/>
      <c r="G200" s="4"/>
      <c r="H200" s="4"/>
      <c r="I200" s="4"/>
      <c r="J200" s="4"/>
    </row>
    <row r="201" ht="15.75" customHeight="1">
      <c r="A201" s="4"/>
      <c r="B201" s="4"/>
      <c r="C201" s="4"/>
      <c r="D201" s="4"/>
      <c r="E201" s="260"/>
      <c r="F201" s="4"/>
      <c r="G201" s="4"/>
      <c r="H201" s="4"/>
      <c r="I201" s="4"/>
      <c r="J201" s="4"/>
    </row>
    <row r="202" ht="15.75" customHeight="1">
      <c r="A202" s="4"/>
      <c r="B202" s="4"/>
      <c r="C202" s="4"/>
      <c r="D202" s="4"/>
      <c r="E202" s="260"/>
      <c r="F202" s="4"/>
      <c r="G202" s="4"/>
      <c r="H202" s="4"/>
      <c r="I202" s="4"/>
      <c r="J202" s="4"/>
    </row>
    <row r="203" ht="15.75" customHeight="1">
      <c r="A203" s="4"/>
      <c r="B203" s="4"/>
      <c r="C203" s="4"/>
      <c r="D203" s="4"/>
      <c r="E203" s="260"/>
      <c r="F203" s="4"/>
      <c r="G203" s="4"/>
      <c r="H203" s="4"/>
      <c r="I203" s="4"/>
      <c r="J203" s="4"/>
    </row>
    <row r="204" ht="15.75" customHeight="1">
      <c r="A204" s="4"/>
      <c r="B204" s="4"/>
      <c r="C204" s="4"/>
      <c r="D204" s="4"/>
      <c r="E204" s="260"/>
      <c r="F204" s="4"/>
      <c r="G204" s="4"/>
      <c r="H204" s="4"/>
      <c r="I204" s="4"/>
      <c r="J204" s="4"/>
    </row>
    <row r="205" ht="15.75" customHeight="1">
      <c r="A205" s="4"/>
      <c r="B205" s="4"/>
      <c r="C205" s="4"/>
      <c r="D205" s="4"/>
      <c r="E205" s="260"/>
      <c r="F205" s="4"/>
      <c r="G205" s="4"/>
      <c r="H205" s="4"/>
      <c r="I205" s="4"/>
      <c r="J205" s="4"/>
    </row>
    <row r="206" ht="15.75" customHeight="1">
      <c r="A206" s="4"/>
      <c r="B206" s="4"/>
      <c r="C206" s="4"/>
      <c r="D206" s="4"/>
      <c r="E206" s="260"/>
      <c r="F206" s="4"/>
      <c r="G206" s="4"/>
      <c r="H206" s="4"/>
      <c r="I206" s="4"/>
      <c r="J206" s="4"/>
    </row>
    <row r="207" ht="15.75" customHeight="1">
      <c r="A207" s="4"/>
      <c r="B207" s="4"/>
      <c r="C207" s="4"/>
      <c r="D207" s="4"/>
      <c r="E207" s="260"/>
      <c r="F207" s="4"/>
      <c r="G207" s="4"/>
      <c r="H207" s="4"/>
      <c r="I207" s="4"/>
      <c r="J207" s="4"/>
    </row>
    <row r="208" ht="15.75" customHeight="1">
      <c r="A208" s="4"/>
      <c r="B208" s="4"/>
      <c r="C208" s="4"/>
      <c r="D208" s="4"/>
      <c r="E208" s="260"/>
      <c r="F208" s="4"/>
      <c r="G208" s="4"/>
      <c r="H208" s="4"/>
      <c r="I208" s="4"/>
      <c r="J208" s="4"/>
    </row>
    <row r="209" ht="15.75" customHeight="1">
      <c r="A209" s="4"/>
      <c r="B209" s="4"/>
      <c r="C209" s="4"/>
      <c r="D209" s="4"/>
      <c r="E209" s="260"/>
      <c r="F209" s="4"/>
      <c r="G209" s="4"/>
      <c r="H209" s="4"/>
      <c r="I209" s="4"/>
      <c r="J209" s="4"/>
    </row>
    <row r="210" ht="15.75" customHeight="1">
      <c r="A210" s="4"/>
      <c r="B210" s="4"/>
      <c r="C210" s="4"/>
      <c r="D210" s="4"/>
      <c r="E210" s="260"/>
      <c r="F210" s="4"/>
      <c r="G210" s="4"/>
      <c r="H210" s="4"/>
      <c r="I210" s="4"/>
      <c r="J210" s="4"/>
    </row>
    <row r="211" ht="15.75" customHeight="1">
      <c r="A211" s="4"/>
      <c r="B211" s="4"/>
      <c r="C211" s="4"/>
      <c r="D211" s="4"/>
      <c r="E211" s="260"/>
      <c r="F211" s="4"/>
      <c r="G211" s="4"/>
      <c r="H211" s="4"/>
      <c r="I211" s="4"/>
      <c r="J211" s="4"/>
    </row>
    <row r="212" ht="15.75" customHeight="1">
      <c r="A212" s="4"/>
      <c r="B212" s="4"/>
      <c r="C212" s="4"/>
      <c r="D212" s="4"/>
      <c r="E212" s="260"/>
      <c r="F212" s="4"/>
      <c r="G212" s="4"/>
      <c r="H212" s="4"/>
      <c r="I212" s="4"/>
      <c r="J212" s="4"/>
    </row>
    <row r="213" ht="15.75" customHeight="1">
      <c r="A213" s="4"/>
      <c r="B213" s="4"/>
      <c r="C213" s="4"/>
      <c r="D213" s="4"/>
      <c r="E213" s="260"/>
      <c r="F213" s="4"/>
      <c r="G213" s="4"/>
      <c r="H213" s="4"/>
      <c r="I213" s="4"/>
      <c r="J213" s="4"/>
    </row>
    <row r="214" ht="15.75" customHeight="1">
      <c r="A214" s="4"/>
      <c r="B214" s="4"/>
      <c r="C214" s="4"/>
      <c r="D214" s="4"/>
      <c r="E214" s="260"/>
      <c r="F214" s="4"/>
      <c r="G214" s="4"/>
      <c r="H214" s="4"/>
      <c r="I214" s="4"/>
      <c r="J214" s="4"/>
    </row>
    <row r="215" ht="15.75" customHeight="1">
      <c r="A215" s="4"/>
      <c r="B215" s="4"/>
      <c r="C215" s="4"/>
      <c r="D215" s="4"/>
      <c r="E215" s="260"/>
      <c r="F215" s="4"/>
      <c r="G215" s="4"/>
      <c r="H215" s="4"/>
      <c r="I215" s="4"/>
      <c r="J215" s="4"/>
    </row>
    <row r="216" ht="15.75" customHeight="1">
      <c r="A216" s="4"/>
      <c r="B216" s="4"/>
      <c r="C216" s="4"/>
      <c r="D216" s="4"/>
      <c r="E216" s="260"/>
      <c r="F216" s="4"/>
      <c r="G216" s="4"/>
      <c r="H216" s="4"/>
      <c r="I216" s="4"/>
      <c r="J216" s="4"/>
    </row>
    <row r="217" ht="15.75" customHeight="1">
      <c r="A217" s="4"/>
      <c r="B217" s="4"/>
      <c r="C217" s="4"/>
      <c r="D217" s="4"/>
      <c r="E217" s="260"/>
      <c r="F217" s="4"/>
      <c r="G217" s="4"/>
      <c r="H217" s="4"/>
      <c r="I217" s="4"/>
      <c r="J217" s="4"/>
    </row>
    <row r="218" ht="15.75" customHeight="1">
      <c r="A218" s="4"/>
      <c r="B218" s="4"/>
      <c r="C218" s="4"/>
      <c r="D218" s="4"/>
      <c r="E218" s="260"/>
      <c r="F218" s="4"/>
      <c r="G218" s="4"/>
      <c r="H218" s="4"/>
      <c r="I218" s="4"/>
      <c r="J218" s="4"/>
    </row>
    <row r="219" ht="15.75" customHeight="1">
      <c r="A219" s="4"/>
      <c r="B219" s="4"/>
      <c r="C219" s="4"/>
      <c r="D219" s="4"/>
      <c r="E219" s="260"/>
      <c r="F219" s="4"/>
      <c r="G219" s="4"/>
      <c r="H219" s="4"/>
      <c r="I219" s="4"/>
      <c r="J219" s="4"/>
    </row>
    <row r="220" ht="15.75" customHeight="1">
      <c r="A220" s="4"/>
      <c r="B220" s="4"/>
      <c r="C220" s="4"/>
      <c r="D220" s="4"/>
      <c r="E220" s="260"/>
      <c r="F220" s="4"/>
      <c r="G220" s="4"/>
      <c r="H220" s="4"/>
      <c r="I220" s="4"/>
      <c r="J220" s="4"/>
    </row>
    <row r="221" ht="15.75" customHeight="1">
      <c r="A221" s="4"/>
      <c r="B221" s="4"/>
      <c r="C221" s="4"/>
      <c r="D221" s="4"/>
      <c r="E221" s="260"/>
      <c r="F221" s="4"/>
      <c r="G221" s="4"/>
      <c r="H221" s="4"/>
      <c r="I221" s="4"/>
      <c r="J221" s="4"/>
    </row>
    <row r="222" ht="15.75" customHeight="1">
      <c r="A222" s="4"/>
      <c r="B222" s="4"/>
      <c r="C222" s="4"/>
      <c r="D222" s="4"/>
      <c r="E222" s="260"/>
      <c r="F222" s="4"/>
      <c r="G222" s="4"/>
      <c r="H222" s="4"/>
      <c r="I222" s="4"/>
      <c r="J222" s="4"/>
    </row>
    <row r="223" ht="15.75" customHeight="1">
      <c r="A223" s="4"/>
      <c r="B223" s="4"/>
      <c r="C223" s="4"/>
      <c r="D223" s="4"/>
      <c r="E223" s="260"/>
      <c r="F223" s="4"/>
      <c r="G223" s="4"/>
      <c r="H223" s="4"/>
      <c r="I223" s="4"/>
      <c r="J223" s="4"/>
    </row>
    <row r="224" ht="15.75" customHeight="1">
      <c r="A224" s="4"/>
      <c r="B224" s="4"/>
      <c r="C224" s="4"/>
      <c r="D224" s="4"/>
      <c r="E224" s="260"/>
      <c r="F224" s="4"/>
      <c r="G224" s="4"/>
      <c r="H224" s="4"/>
      <c r="I224" s="4"/>
      <c r="J224" s="4"/>
    </row>
    <row r="225" ht="15.75" customHeight="1">
      <c r="A225" s="4"/>
      <c r="B225" s="4"/>
      <c r="C225" s="4"/>
      <c r="D225" s="4"/>
      <c r="E225" s="260"/>
      <c r="F225" s="4"/>
      <c r="G225" s="4"/>
      <c r="H225" s="4"/>
      <c r="I225" s="4"/>
      <c r="J225" s="4"/>
    </row>
    <row r="226" ht="15.75" customHeight="1">
      <c r="A226" s="4"/>
      <c r="B226" s="4"/>
      <c r="C226" s="4"/>
      <c r="D226" s="4"/>
      <c r="E226" s="260"/>
      <c r="F226" s="4"/>
      <c r="G226" s="4"/>
      <c r="H226" s="4"/>
      <c r="I226" s="4"/>
      <c r="J226" s="4"/>
    </row>
    <row r="227" ht="15.75" customHeight="1">
      <c r="A227" s="4"/>
      <c r="B227" s="4"/>
      <c r="C227" s="4"/>
      <c r="D227" s="4"/>
      <c r="E227" s="260"/>
      <c r="F227" s="4"/>
      <c r="G227" s="4"/>
      <c r="H227" s="4"/>
      <c r="I227" s="4"/>
      <c r="J227" s="4"/>
    </row>
    <row r="228" ht="15.75" customHeight="1">
      <c r="A228" s="4"/>
      <c r="B228" s="4"/>
      <c r="C228" s="4"/>
      <c r="D228" s="4"/>
      <c r="E228" s="260"/>
      <c r="F228" s="4"/>
      <c r="G228" s="4"/>
      <c r="H228" s="4"/>
      <c r="I228" s="4"/>
      <c r="J228" s="4"/>
    </row>
    <row r="229" ht="15.75" customHeight="1">
      <c r="A229" s="4"/>
      <c r="B229" s="4"/>
      <c r="C229" s="4"/>
      <c r="D229" s="4"/>
      <c r="E229" s="260"/>
      <c r="F229" s="4"/>
      <c r="G229" s="4"/>
      <c r="H229" s="4"/>
      <c r="I229" s="4"/>
      <c r="J229" s="4"/>
    </row>
    <row r="230" ht="15.75" customHeight="1">
      <c r="A230" s="4"/>
      <c r="B230" s="4"/>
      <c r="C230" s="4"/>
      <c r="D230" s="4"/>
      <c r="E230" s="260"/>
      <c r="F230" s="4"/>
      <c r="G230" s="4"/>
      <c r="H230" s="4"/>
      <c r="I230" s="4"/>
      <c r="J230" s="4"/>
    </row>
    <row r="231" ht="15.75" customHeight="1">
      <c r="A231" s="4"/>
      <c r="B231" s="4"/>
      <c r="C231" s="4"/>
      <c r="D231" s="4"/>
      <c r="E231" s="260"/>
      <c r="F231" s="4"/>
      <c r="G231" s="4"/>
      <c r="H231" s="4"/>
      <c r="I231" s="4"/>
      <c r="J231" s="4"/>
    </row>
    <row r="232" ht="15.75" customHeight="1">
      <c r="A232" s="4"/>
      <c r="B232" s="4"/>
      <c r="C232" s="4"/>
      <c r="D232" s="4"/>
      <c r="E232" s="260"/>
      <c r="F232" s="4"/>
      <c r="G232" s="4"/>
      <c r="H232" s="4"/>
      <c r="I232" s="4"/>
      <c r="J232" s="4"/>
    </row>
    <row r="233" ht="15.75" customHeight="1">
      <c r="A233" s="4"/>
      <c r="B233" s="4"/>
      <c r="C233" s="4"/>
      <c r="D233" s="4"/>
      <c r="E233" s="260"/>
      <c r="F233" s="4"/>
      <c r="G233" s="4"/>
      <c r="H233" s="4"/>
      <c r="I233" s="4"/>
      <c r="J233" s="4"/>
    </row>
    <row r="234" ht="15.75" customHeight="1">
      <c r="A234" s="4"/>
      <c r="B234" s="4"/>
      <c r="C234" s="4"/>
      <c r="D234" s="4"/>
      <c r="E234" s="260"/>
      <c r="F234" s="4"/>
      <c r="G234" s="4"/>
      <c r="H234" s="4"/>
      <c r="I234" s="4"/>
      <c r="J234" s="4"/>
    </row>
    <row r="235" ht="15.75" customHeight="1">
      <c r="A235" s="4"/>
      <c r="B235" s="4"/>
      <c r="C235" s="4"/>
      <c r="D235" s="4"/>
      <c r="E235" s="260"/>
      <c r="F235" s="4"/>
      <c r="G235" s="4"/>
      <c r="H235" s="4"/>
      <c r="I235" s="4"/>
      <c r="J235" s="4"/>
    </row>
    <row r="236" ht="15.75" customHeight="1">
      <c r="A236" s="4"/>
      <c r="B236" s="4"/>
      <c r="C236" s="4"/>
      <c r="D236" s="4"/>
      <c r="E236" s="260"/>
      <c r="F236" s="4"/>
      <c r="G236" s="4"/>
      <c r="H236" s="4"/>
      <c r="I236" s="4"/>
      <c r="J236" s="4"/>
    </row>
    <row r="237" ht="15.75" customHeight="1">
      <c r="A237" s="4"/>
      <c r="B237" s="4"/>
      <c r="C237" s="4"/>
      <c r="D237" s="4"/>
      <c r="E237" s="260"/>
      <c r="F237" s="4"/>
      <c r="G237" s="4"/>
      <c r="H237" s="4"/>
      <c r="I237" s="4"/>
      <c r="J237" s="4"/>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4:A28"/>
    <mergeCell ref="B15:B22"/>
    <mergeCell ref="B23:B25"/>
    <mergeCell ref="B27:B28"/>
    <mergeCell ref="A29:A37"/>
    <mergeCell ref="B29:B32"/>
    <mergeCell ref="B2:F2"/>
    <mergeCell ref="A3:F3"/>
    <mergeCell ref="A4:B4"/>
    <mergeCell ref="A5:B5"/>
    <mergeCell ref="A6:B6"/>
    <mergeCell ref="A7:B7"/>
    <mergeCell ref="A8:B8"/>
    <mergeCell ref="C10:H10"/>
    <mergeCell ref="C11:H11"/>
    <mergeCell ref="C13:G13"/>
    <mergeCell ref="K13:L13"/>
    <mergeCell ref="C14:G14"/>
    <mergeCell ref="C15:G15"/>
    <mergeCell ref="C16:G16"/>
    <mergeCell ref="C17:G17"/>
    <mergeCell ref="C18:G18"/>
    <mergeCell ref="C19:G19"/>
    <mergeCell ref="C20:G20"/>
    <mergeCell ref="C21:G21"/>
    <mergeCell ref="C22:G22"/>
    <mergeCell ref="C23:G23"/>
    <mergeCell ref="F29:G29"/>
    <mergeCell ref="F30:G30"/>
    <mergeCell ref="C24:G24"/>
    <mergeCell ref="C25:G25"/>
    <mergeCell ref="C26:G26"/>
    <mergeCell ref="C27:G27"/>
    <mergeCell ref="C28:G28"/>
    <mergeCell ref="C29:D29"/>
    <mergeCell ref="C30:D30"/>
    <mergeCell ref="C35:G35"/>
    <mergeCell ref="C36:G36"/>
    <mergeCell ref="C37:G37"/>
    <mergeCell ref="C31:D31"/>
    <mergeCell ref="F31:G31"/>
    <mergeCell ref="C32:D32"/>
    <mergeCell ref="F32:G32"/>
    <mergeCell ref="C33:D33"/>
    <mergeCell ref="K33:L33"/>
    <mergeCell ref="C34:G34"/>
  </mergeCells>
  <conditionalFormatting sqref="F5 F8">
    <cfRule type="containsBlanks" dxfId="0" priority="1">
      <formula>LEN(TRIM(F5))=0</formula>
    </cfRule>
  </conditionalFormatting>
  <conditionalFormatting sqref="E5:E8 F6:F8">
    <cfRule type="containsBlanks" dxfId="0" priority="2">
      <formula>LEN(TRIM(E5))=0</formula>
    </cfRule>
  </conditionalFormatting>
  <dataValidations>
    <dataValidation type="list" allowBlank="1" showErrorMessage="1" sqref="B10">
      <formula1>LZ</formula1>
    </dataValidation>
  </dataValidations>
  <printOptions/>
  <pageMargins bottom="0.75" footer="0.0" header="0.0" left="0.7" right="0.7" top="0.75"/>
  <pageSetup scale="79" orientation="portrait"/>
  <headerFooter>
    <oddFooter>&amp;LVersion 7&amp;RAugust 2023</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0.43"/>
    <col customWidth="1" min="3" max="3" width="11.0"/>
    <col customWidth="1" min="4" max="4" width="11.71"/>
    <col customWidth="1" min="5" max="5" width="10.14"/>
    <col customWidth="1" min="6" max="6" width="10.43"/>
    <col customWidth="1" min="7" max="11" width="8.71"/>
  </cols>
  <sheetData>
    <row r="3" ht="15.0" customHeight="1">
      <c r="A3" s="87" t="s">
        <v>483</v>
      </c>
      <c r="B3" s="161" t="s">
        <v>484</v>
      </c>
      <c r="C3" s="67"/>
      <c r="D3" s="67"/>
      <c r="E3" s="67"/>
      <c r="F3" s="67"/>
      <c r="G3" s="67"/>
      <c r="H3" s="67"/>
      <c r="I3" s="68"/>
    </row>
    <row r="4" ht="45.0" customHeight="1">
      <c r="A4" s="226" t="s">
        <v>485</v>
      </c>
      <c r="B4" s="46"/>
      <c r="C4" s="99" t="s">
        <v>486</v>
      </c>
      <c r="D4" s="99" t="s">
        <v>487</v>
      </c>
      <c r="E4" s="99" t="s">
        <v>488</v>
      </c>
      <c r="F4" s="99" t="s">
        <v>489</v>
      </c>
      <c r="G4" s="99" t="s">
        <v>490</v>
      </c>
      <c r="H4" s="99" t="s">
        <v>183</v>
      </c>
      <c r="I4" s="99" t="s">
        <v>184</v>
      </c>
    </row>
    <row r="5">
      <c r="A5" s="49"/>
      <c r="B5" s="51"/>
      <c r="C5" s="237" t="s">
        <v>491</v>
      </c>
      <c r="D5" s="282" t="str">
        <f>IF(C5="","",IF(C5="#","kW","W/SF"))</f>
        <v>kW</v>
      </c>
      <c r="E5" s="99" t="s">
        <v>165</v>
      </c>
      <c r="F5" s="99"/>
      <c r="G5" s="99"/>
      <c r="H5" s="99"/>
      <c r="I5" s="99"/>
    </row>
    <row r="6">
      <c r="A6" s="332" t="s">
        <v>492</v>
      </c>
      <c r="B6" s="68"/>
      <c r="C6" s="109"/>
      <c r="D6" s="109"/>
      <c r="E6" s="109"/>
      <c r="F6" s="109"/>
      <c r="G6" s="109"/>
      <c r="H6" s="109"/>
      <c r="I6" s="109"/>
      <c r="K6" s="4"/>
    </row>
    <row r="7">
      <c r="A7" s="332" t="s">
        <v>493</v>
      </c>
      <c r="B7" s="68"/>
      <c r="C7" s="109"/>
      <c r="D7" s="333"/>
      <c r="E7" s="109"/>
      <c r="F7" s="109"/>
      <c r="G7" s="109"/>
      <c r="H7" s="109"/>
      <c r="I7" s="109"/>
      <c r="K7" s="4"/>
    </row>
    <row r="8">
      <c r="A8" s="332" t="s">
        <v>496</v>
      </c>
      <c r="B8" s="68"/>
      <c r="C8" s="109"/>
      <c r="D8" s="333"/>
      <c r="E8" s="109"/>
      <c r="F8" s="109"/>
      <c r="G8" s="109"/>
      <c r="H8" s="109"/>
      <c r="I8" s="109"/>
    </row>
    <row r="9">
      <c r="A9" s="332" t="s">
        <v>497</v>
      </c>
      <c r="B9" s="68"/>
      <c r="C9" s="109"/>
      <c r="D9" s="333"/>
      <c r="E9" s="109"/>
      <c r="F9" s="109"/>
      <c r="G9" s="109"/>
      <c r="H9" s="109"/>
      <c r="I9" s="109"/>
    </row>
    <row r="10">
      <c r="A10" s="332"/>
      <c r="B10" s="68"/>
      <c r="C10" s="109"/>
      <c r="D10" s="333"/>
      <c r="E10" s="109"/>
      <c r="F10" s="109"/>
      <c r="G10" s="109"/>
      <c r="H10" s="109"/>
      <c r="I10" s="109"/>
    </row>
    <row r="11">
      <c r="A11" s="332"/>
      <c r="B11" s="68"/>
      <c r="C11" s="109"/>
      <c r="D11" s="333"/>
      <c r="E11" s="109"/>
      <c r="F11" s="109"/>
      <c r="G11" s="109"/>
      <c r="H11" s="109"/>
      <c r="I11" s="109"/>
    </row>
    <row r="12">
      <c r="A12" s="332"/>
      <c r="B12" s="68"/>
      <c r="C12" s="109"/>
      <c r="D12" s="333"/>
      <c r="E12" s="109"/>
      <c r="F12" s="109"/>
      <c r="G12" s="109"/>
      <c r="H12" s="109"/>
      <c r="I12" s="109"/>
    </row>
    <row r="13">
      <c r="A13" s="332"/>
      <c r="B13" s="68"/>
      <c r="C13" s="109"/>
      <c r="D13" s="333"/>
      <c r="E13" s="109"/>
      <c r="F13" s="109"/>
      <c r="G13" s="109"/>
      <c r="H13" s="109"/>
      <c r="I13" s="109"/>
    </row>
    <row r="14">
      <c r="A14" s="332"/>
      <c r="B14" s="68"/>
      <c r="C14" s="109"/>
      <c r="D14" s="333"/>
      <c r="E14" s="109"/>
      <c r="F14" s="109"/>
      <c r="G14" s="109"/>
      <c r="H14" s="109"/>
      <c r="I14" s="109"/>
    </row>
    <row r="15">
      <c r="A15" s="95" t="s">
        <v>209</v>
      </c>
      <c r="B15" s="68"/>
      <c r="C15" s="157" t="str">
        <f>IF(SUM(C6:C14)=0,"",SUM(C6:C14))</f>
        <v/>
      </c>
      <c r="D15" s="157" t="str">
        <f>IF(SUM(D6:D14)=0,"",IF(D5="W/SF",SUMPRODUCT($C$6:$C$14,$D$6:$D$14)/1000,SUMPRODUCT($C$6:$C$14,$D$6:$D$14)))</f>
        <v/>
      </c>
      <c r="E15" s="99" t="str">
        <f>IF(E6="","",SUM(E14))</f>
        <v/>
      </c>
      <c r="F15" s="99"/>
      <c r="G15" s="99"/>
      <c r="H15" s="99"/>
      <c r="I15" s="99"/>
    </row>
    <row r="17" ht="15.0" customHeight="1">
      <c r="A17" s="87" t="s">
        <v>515</v>
      </c>
      <c r="B17" s="161" t="s">
        <v>516</v>
      </c>
      <c r="C17" s="67"/>
      <c r="D17" s="67"/>
      <c r="E17" s="67"/>
      <c r="F17" s="67"/>
      <c r="G17" s="67"/>
      <c r="H17" s="67"/>
      <c r="I17" s="68"/>
    </row>
    <row r="18" ht="45.0" customHeight="1">
      <c r="A18" s="226" t="s">
        <v>485</v>
      </c>
      <c r="B18" s="46"/>
      <c r="C18" s="99" t="s">
        <v>486</v>
      </c>
      <c r="D18" s="99" t="s">
        <v>487</v>
      </c>
      <c r="E18" s="99" t="s">
        <v>488</v>
      </c>
      <c r="F18" s="99" t="s">
        <v>489</v>
      </c>
      <c r="G18" s="99" t="s">
        <v>490</v>
      </c>
      <c r="H18" s="99" t="s">
        <v>183</v>
      </c>
      <c r="I18" s="99" t="s">
        <v>184</v>
      </c>
    </row>
    <row r="19">
      <c r="A19" s="49"/>
      <c r="B19" s="51"/>
      <c r="C19" s="237" t="s">
        <v>520</v>
      </c>
      <c r="D19" s="282" t="str">
        <f>IF(C19="","",IF(C19="#","kW","W/SF"))</f>
        <v>W/SF</v>
      </c>
      <c r="E19" s="99" t="s">
        <v>165</v>
      </c>
      <c r="F19" s="99"/>
      <c r="G19" s="99"/>
      <c r="H19" s="99"/>
      <c r="I19" s="99"/>
    </row>
    <row r="20" ht="15.0" customHeight="1">
      <c r="A20" s="332" t="s">
        <v>523</v>
      </c>
      <c r="B20" s="68"/>
      <c r="C20" s="340">
        <v>11690.791</v>
      </c>
      <c r="D20" s="341">
        <v>0.07</v>
      </c>
      <c r="E20" s="243">
        <v>2889.0</v>
      </c>
      <c r="F20" s="242" t="s">
        <v>527</v>
      </c>
      <c r="G20" s="109" t="s">
        <v>428</v>
      </c>
      <c r="H20" s="109"/>
      <c r="I20" s="109" t="s">
        <v>424</v>
      </c>
    </row>
    <row r="21" ht="15.0" customHeight="1">
      <c r="A21" s="332" t="str">
        <f>IF('6d.1 Interior LPD-Space Method'!A8&lt;&gt;"",'6d.1 Interior LPD-Space Method'!A8,"")</f>
        <v/>
      </c>
      <c r="B21" s="68"/>
      <c r="C21" s="109" t="str">
        <f>IF('6d.1 Interior LPD-Space Method'!B8&lt;&gt;"",'6d.1 Interior LPD-Space Method'!B8,"")</f>
        <v/>
      </c>
      <c r="D21" s="333"/>
      <c r="E21" s="109"/>
      <c r="F21" s="109"/>
      <c r="G21" s="109"/>
      <c r="H21" s="109"/>
      <c r="I21" s="109"/>
    </row>
    <row r="22" ht="15.0" customHeight="1">
      <c r="A22" s="332" t="str">
        <f>IF('6d.1 Interior LPD-Space Method'!A9&lt;&gt;"",'6d.1 Interior LPD-Space Method'!A9,"")</f>
        <v/>
      </c>
      <c r="B22" s="68"/>
      <c r="C22" s="109" t="str">
        <f>IF('6d.1 Interior LPD-Space Method'!B9&lt;&gt;"",'6d.1 Interior LPD-Space Method'!B9,"")</f>
        <v/>
      </c>
      <c r="D22" s="333"/>
      <c r="E22" s="109"/>
      <c r="F22" s="109"/>
      <c r="G22" s="109"/>
      <c r="H22" s="109"/>
      <c r="I22" s="109"/>
    </row>
    <row r="23" ht="15.75" customHeight="1">
      <c r="A23" s="332" t="str">
        <f>IF('6d.1 Interior LPD-Space Method'!A10&lt;&gt;"",'6d.1 Interior LPD-Space Method'!A10,"")</f>
        <v/>
      </c>
      <c r="B23" s="68"/>
      <c r="C23" s="109" t="str">
        <f>IF('6d.1 Interior LPD-Space Method'!B10&lt;&gt;"",'6d.1 Interior LPD-Space Method'!B10,"")</f>
        <v/>
      </c>
      <c r="D23" s="333"/>
      <c r="E23" s="109"/>
      <c r="F23" s="109"/>
      <c r="G23" s="109"/>
      <c r="H23" s="109"/>
      <c r="I23" s="109"/>
    </row>
    <row r="24" ht="15.75" customHeight="1">
      <c r="A24" s="332" t="str">
        <f>IF('6d.1 Interior LPD-Space Method'!A11&lt;&gt;"",'6d.1 Interior LPD-Space Method'!A11,"")</f>
        <v/>
      </c>
      <c r="B24" s="68"/>
      <c r="C24" s="109" t="str">
        <f>IF('6d.1 Interior LPD-Space Method'!B11&lt;&gt;"",'6d.1 Interior LPD-Space Method'!B11,"")</f>
        <v/>
      </c>
      <c r="D24" s="333"/>
      <c r="E24" s="109"/>
      <c r="F24" s="109"/>
      <c r="G24" s="109"/>
      <c r="H24" s="109"/>
      <c r="I24" s="109"/>
    </row>
    <row r="25" ht="15.75" customHeight="1">
      <c r="A25" s="332" t="str">
        <f>IF('6d.1 Interior LPD-Space Method'!A12&lt;&gt;"",'6d.1 Interior LPD-Space Method'!A12,"")</f>
        <v/>
      </c>
      <c r="B25" s="68"/>
      <c r="C25" s="109" t="str">
        <f>IF('6d.1 Interior LPD-Space Method'!B12&lt;&gt;"",'6d.1 Interior LPD-Space Method'!B12,"")</f>
        <v/>
      </c>
      <c r="D25" s="333"/>
      <c r="E25" s="109"/>
      <c r="F25" s="109"/>
      <c r="G25" s="109"/>
      <c r="H25" s="109"/>
      <c r="I25" s="109"/>
    </row>
    <row r="26" ht="15.75" customHeight="1">
      <c r="A26" s="332" t="str">
        <f>IF('6d.1 Interior LPD-Space Method'!A13&lt;&gt;"",'6d.1 Interior LPD-Space Method'!A13,"")</f>
        <v/>
      </c>
      <c r="B26" s="68"/>
      <c r="C26" s="109" t="str">
        <f>IF('6d.1 Interior LPD-Space Method'!B13&lt;&gt;"",'6d.1 Interior LPD-Space Method'!B13,"")</f>
        <v/>
      </c>
      <c r="D26" s="333"/>
      <c r="E26" s="109"/>
      <c r="F26" s="109"/>
      <c r="G26" s="109"/>
      <c r="H26" s="109"/>
      <c r="I26" s="109"/>
    </row>
    <row r="27" ht="15.75" customHeight="1">
      <c r="A27" s="332" t="str">
        <f>IF('6d.1 Interior LPD-Space Method'!A14&lt;&gt;"",'6d.1 Interior LPD-Space Method'!A14,"")</f>
        <v/>
      </c>
      <c r="B27" s="68"/>
      <c r="C27" s="109" t="str">
        <f>IF('6d.1 Interior LPD-Space Method'!B14&lt;&gt;"",'6d.1 Interior LPD-Space Method'!B14,"")</f>
        <v/>
      </c>
      <c r="D27" s="333"/>
      <c r="E27" s="109"/>
      <c r="F27" s="109"/>
      <c r="G27" s="109"/>
      <c r="H27" s="109"/>
      <c r="I27" s="109"/>
    </row>
    <row r="28" ht="15.75" customHeight="1">
      <c r="A28" s="332" t="str">
        <f>IF('6d.1 Interior LPD-Space Method'!A15&lt;&gt;"",'6d.1 Interior LPD-Space Method'!A15,"")</f>
        <v/>
      </c>
      <c r="B28" s="68"/>
      <c r="C28" s="109" t="str">
        <f>IF('6d.1 Interior LPD-Space Method'!B15&lt;&gt;"",'6d.1 Interior LPD-Space Method'!B15,"")</f>
        <v/>
      </c>
      <c r="D28" s="333"/>
      <c r="E28" s="109"/>
      <c r="F28" s="109"/>
      <c r="G28" s="109"/>
      <c r="H28" s="109"/>
      <c r="I28" s="109"/>
    </row>
    <row r="29" ht="15.75" customHeight="1">
      <c r="A29" s="332" t="str">
        <f>IF('6d.1 Interior LPD-Space Method'!A16&lt;&gt;"",'6d.1 Interior LPD-Space Method'!A16,"")</f>
        <v/>
      </c>
      <c r="B29" s="68"/>
      <c r="C29" s="109" t="str">
        <f>IF('6d.1 Interior LPD-Space Method'!B16&lt;&gt;"",'6d.1 Interior LPD-Space Method'!B16,"")</f>
        <v/>
      </c>
      <c r="D29" s="333"/>
      <c r="E29" s="109"/>
      <c r="F29" s="109"/>
      <c r="G29" s="109"/>
      <c r="H29" s="109"/>
      <c r="I29" s="109"/>
    </row>
    <row r="30" ht="15.75" customHeight="1">
      <c r="A30" s="332" t="str">
        <f>IF('6d.1 Interior LPD-Space Method'!A17&lt;&gt;"",'6d.1 Interior LPD-Space Method'!A17,"")</f>
        <v/>
      </c>
      <c r="B30" s="68"/>
      <c r="C30" s="109" t="str">
        <f>IF('6d.1 Interior LPD-Space Method'!B17&lt;&gt;"",'6d.1 Interior LPD-Space Method'!B17,"")</f>
        <v/>
      </c>
      <c r="D30" s="333"/>
      <c r="E30" s="109"/>
      <c r="F30" s="109"/>
      <c r="G30" s="109"/>
      <c r="H30" s="109"/>
      <c r="I30" s="109"/>
    </row>
    <row r="31" ht="15.75" customHeight="1">
      <c r="A31" s="332" t="str">
        <f>IF('6d.1 Interior LPD-Space Method'!A18&lt;&gt;"",'6d.1 Interior LPD-Space Method'!A18,"")</f>
        <v/>
      </c>
      <c r="B31" s="68"/>
      <c r="C31" s="109" t="str">
        <f>IF('6d.1 Interior LPD-Space Method'!B18&lt;&gt;"",'6d.1 Interior LPD-Space Method'!B18,"")</f>
        <v/>
      </c>
      <c r="D31" s="333"/>
      <c r="E31" s="109"/>
      <c r="F31" s="109"/>
      <c r="G31" s="109"/>
      <c r="H31" s="109"/>
      <c r="I31" s="109"/>
    </row>
    <row r="32" ht="15.75" customHeight="1">
      <c r="A32" s="332" t="str">
        <f>IF('6d.1 Interior LPD-Space Method'!A19&lt;&gt;"",'6d.1 Interior LPD-Space Method'!A19,"")</f>
        <v/>
      </c>
      <c r="B32" s="68"/>
      <c r="C32" s="109" t="str">
        <f>IF('6d.1 Interior LPD-Space Method'!B19&lt;&gt;"",'6d.1 Interior LPD-Space Method'!B19,"")</f>
        <v/>
      </c>
      <c r="D32" s="333"/>
      <c r="E32" s="109"/>
      <c r="F32" s="109"/>
      <c r="G32" s="109"/>
      <c r="H32" s="109"/>
      <c r="I32" s="109"/>
    </row>
    <row r="33" ht="15.75" customHeight="1">
      <c r="A33" s="332" t="str">
        <f>IF('6d.1 Interior LPD-Space Method'!A20&lt;&gt;"",'6d.1 Interior LPD-Space Method'!A20,"")</f>
        <v/>
      </c>
      <c r="B33" s="68"/>
      <c r="C33" s="109" t="str">
        <f>IF('6d.1 Interior LPD-Space Method'!B20&lt;&gt;"",'6d.1 Interior LPD-Space Method'!B20,"")</f>
        <v/>
      </c>
      <c r="D33" s="333"/>
      <c r="E33" s="109"/>
      <c r="F33" s="109"/>
      <c r="G33" s="109"/>
      <c r="H33" s="109"/>
      <c r="I33" s="109"/>
    </row>
    <row r="34" ht="15.75" customHeight="1">
      <c r="A34" s="332" t="str">
        <f>IF('6d.1 Interior LPD-Space Method'!A21&lt;&gt;"",'6d.1 Interior LPD-Space Method'!A21,"")</f>
        <v/>
      </c>
      <c r="B34" s="68"/>
      <c r="C34" s="109" t="str">
        <f>IF('6d.1 Interior LPD-Space Method'!B21&lt;&gt;"",'6d.1 Interior LPD-Space Method'!B21,"")</f>
        <v/>
      </c>
      <c r="D34" s="333"/>
      <c r="E34" s="109"/>
      <c r="F34" s="109"/>
      <c r="G34" s="109"/>
      <c r="H34" s="109"/>
      <c r="I34" s="109"/>
    </row>
    <row r="35" ht="15.75" customHeight="1">
      <c r="A35" s="332" t="str">
        <f>IF('6d.1 Interior LPD-Space Method'!A22&lt;&gt;"",'6d.1 Interior LPD-Space Method'!A22,"")</f>
        <v/>
      </c>
      <c r="B35" s="68"/>
      <c r="C35" s="109" t="str">
        <f>IF('6d.1 Interior LPD-Space Method'!B22&lt;&gt;"",'6d.1 Interior LPD-Space Method'!B22,"")</f>
        <v/>
      </c>
      <c r="D35" s="333"/>
      <c r="E35" s="109"/>
      <c r="F35" s="109"/>
      <c r="G35" s="109"/>
      <c r="H35" s="109"/>
      <c r="I35" s="109"/>
    </row>
    <row r="36" ht="15.75" customHeight="1">
      <c r="A36" s="332" t="str">
        <f>IF('6d.1 Interior LPD-Space Method'!A23&lt;&gt;"",'6d.1 Interior LPD-Space Method'!A23,"")</f>
        <v/>
      </c>
      <c r="B36" s="68"/>
      <c r="C36" s="109" t="str">
        <f>IF('6d.1 Interior LPD-Space Method'!B23&lt;&gt;"",'6d.1 Interior LPD-Space Method'!B23,"")</f>
        <v/>
      </c>
      <c r="D36" s="333"/>
      <c r="E36" s="109"/>
      <c r="F36" s="109"/>
      <c r="G36" s="109"/>
      <c r="H36" s="109"/>
      <c r="I36" s="109"/>
    </row>
    <row r="37" ht="15.0" customHeight="1">
      <c r="A37" s="332" t="str">
        <f>IF('6d.1 Interior LPD-Space Method'!A24&lt;&gt;"",'6d.1 Interior LPD-Space Method'!A24,"")</f>
        <v/>
      </c>
      <c r="B37" s="68"/>
      <c r="C37" s="109" t="str">
        <f>IF('6d.1 Interior LPD-Space Method'!B24&lt;&gt;"",'6d.1 Interior LPD-Space Method'!B24,"")</f>
        <v/>
      </c>
      <c r="D37" s="333"/>
      <c r="E37" s="109"/>
      <c r="F37" s="109"/>
      <c r="G37" s="109"/>
      <c r="H37" s="109"/>
      <c r="I37" s="109"/>
    </row>
    <row r="38" ht="15.0" customHeight="1">
      <c r="A38" s="332" t="str">
        <f>IF('6d.1 Interior LPD-Space Method'!A25&lt;&gt;"",'6d.1 Interior LPD-Space Method'!A25,"")</f>
        <v/>
      </c>
      <c r="B38" s="68"/>
      <c r="C38" s="109" t="str">
        <f>IF('6d.1 Interior LPD-Space Method'!B25&lt;&gt;"",'6d.1 Interior LPD-Space Method'!B25,"")</f>
        <v/>
      </c>
      <c r="D38" s="333"/>
      <c r="E38" s="109"/>
      <c r="F38" s="109"/>
      <c r="G38" s="109"/>
      <c r="H38" s="109"/>
      <c r="I38" s="109"/>
    </row>
    <row r="39" ht="15.0" customHeight="1">
      <c r="A39" s="332" t="str">
        <f>IF('6d.1 Interior LPD-Space Method'!A26&lt;&gt;"",'6d.1 Interior LPD-Space Method'!A26,"")</f>
        <v/>
      </c>
      <c r="B39" s="68"/>
      <c r="C39" s="109" t="str">
        <f>IF('6d.1 Interior LPD-Space Method'!B26&lt;&gt;"",'6d.1 Interior LPD-Space Method'!B26,"")</f>
        <v/>
      </c>
      <c r="D39" s="333"/>
      <c r="E39" s="333"/>
      <c r="F39" s="109"/>
      <c r="G39" s="109"/>
      <c r="H39" s="109"/>
      <c r="I39" s="109"/>
    </row>
    <row r="40" ht="15.0" customHeight="1">
      <c r="A40" s="332" t="str">
        <f>IF('6d.1 Interior LPD-Space Method'!A27&lt;&gt;"",'6d.1 Interior LPD-Space Method'!A27,"")</f>
        <v/>
      </c>
      <c r="B40" s="68"/>
      <c r="C40" s="109" t="str">
        <f>IF('6d.1 Interior LPD-Space Method'!B27&lt;&gt;"",'6d.1 Interior LPD-Space Method'!B27,"")</f>
        <v/>
      </c>
      <c r="D40" s="333"/>
      <c r="E40" s="333"/>
      <c r="F40" s="109"/>
      <c r="G40" s="109"/>
      <c r="H40" s="109"/>
      <c r="I40" s="109"/>
    </row>
    <row r="41" ht="15.0" customHeight="1">
      <c r="A41" s="332" t="str">
        <f>IF('6d.1 Interior LPD-Space Method'!A28&lt;&gt;"",'6d.1 Interior LPD-Space Method'!A28,"")</f>
        <v/>
      </c>
      <c r="B41" s="68"/>
      <c r="C41" s="109" t="str">
        <f>IF('6d.1 Interior LPD-Space Method'!B28&lt;&gt;"",'6d.1 Interior LPD-Space Method'!B28,"")</f>
        <v/>
      </c>
      <c r="D41" s="333"/>
      <c r="E41" s="333"/>
      <c r="F41" s="109"/>
      <c r="G41" s="109"/>
      <c r="H41" s="109"/>
      <c r="I41" s="109"/>
    </row>
    <row r="42" ht="15.0" customHeight="1">
      <c r="A42" s="332" t="str">
        <f>IF('6d.1 Interior LPD-Space Method'!A29&lt;&gt;"",'6d.1 Interior LPD-Space Method'!A29,"")</f>
        <v/>
      </c>
      <c r="B42" s="68"/>
      <c r="C42" s="109" t="str">
        <f>IF('6d.1 Interior LPD-Space Method'!B29&lt;&gt;"",'6d.1 Interior LPD-Space Method'!B29,"")</f>
        <v/>
      </c>
      <c r="D42" s="333"/>
      <c r="E42" s="333"/>
      <c r="F42" s="109"/>
      <c r="G42" s="109"/>
      <c r="H42" s="109"/>
      <c r="I42" s="109"/>
    </row>
    <row r="43" ht="15.75" customHeight="1">
      <c r="A43" s="95" t="s">
        <v>209</v>
      </c>
      <c r="B43" s="68"/>
      <c r="C43" s="157">
        <f>IF(SUM(C20:C42)=0,"",SUM(C20:C42))</f>
        <v>11690.791</v>
      </c>
      <c r="D43" s="157">
        <f>IF(SUM(D20:D42)=0,"",IF(D19="W/SF",SUMPRODUCT($C$6:$C$14,$D$6:$D$14)/1000,SUMPRODUCT($C$6:$C$14,$D$6:$D$14)))</f>
        <v>0</v>
      </c>
      <c r="E43" s="157">
        <f>IF(E20="","",SUM(E24))</f>
        <v>0</v>
      </c>
      <c r="F43" s="99"/>
      <c r="G43" s="99"/>
      <c r="H43" s="99"/>
      <c r="I43" s="99"/>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3:I3"/>
    <mergeCell ref="A4:B5"/>
    <mergeCell ref="A6:B6"/>
    <mergeCell ref="A7:B7"/>
    <mergeCell ref="A8:B8"/>
    <mergeCell ref="A9:B9"/>
    <mergeCell ref="A10:B10"/>
    <mergeCell ref="A11:B11"/>
    <mergeCell ref="A12:B12"/>
    <mergeCell ref="A13:B13"/>
    <mergeCell ref="A14:B14"/>
    <mergeCell ref="A15:B15"/>
    <mergeCell ref="B17:I17"/>
    <mergeCell ref="A18: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41:B41"/>
    <mergeCell ref="A42:B42"/>
    <mergeCell ref="A43:B43"/>
    <mergeCell ref="A34:B34"/>
    <mergeCell ref="A35:B35"/>
    <mergeCell ref="A36:B36"/>
    <mergeCell ref="A37:B37"/>
    <mergeCell ref="A38:B38"/>
    <mergeCell ref="A39:B39"/>
    <mergeCell ref="A40:B40"/>
  </mergeCells>
  <conditionalFormatting sqref="A7:C14">
    <cfRule type="containsBlanks" dxfId="0" priority="1">
      <formula>LEN(TRIM(A7))=0</formula>
    </cfRule>
  </conditionalFormatting>
  <conditionalFormatting sqref="D20:I22">
    <cfRule type="containsBlanks" dxfId="0" priority="2">
      <formula>LEN(TRIM(D20))=0</formula>
    </cfRule>
  </conditionalFormatting>
  <conditionalFormatting sqref="A6:I6 D7:I8">
    <cfRule type="containsBlanks" dxfId="0" priority="3">
      <formula>LEN(TRIM(A6))=0</formula>
    </cfRule>
  </conditionalFormatting>
  <conditionalFormatting sqref="A20:C42">
    <cfRule type="containsBlanks" dxfId="0" priority="4">
      <formula>LEN(TRIM(A20))=0</formula>
    </cfRule>
  </conditionalFormatting>
  <dataValidations>
    <dataValidation type="list" allowBlank="1" showErrorMessage="1" sqref="C5 C19">
      <formula1>Lists!$R$1:$R$2</formula1>
    </dataValidation>
    <dataValidation type="list" allowBlank="1" showErrorMessage="1" sqref="G6:G14 G20:G42">
      <formula1>Yes_No</formula1>
    </dataValidation>
  </dataValidations>
  <printOptions/>
  <pageMargins bottom="0.5069444444444444" footer="0.0" header="0.0" left="0.46875" right="0.4479166666666667" top="0.75"/>
  <pageSetup orientation="portrait"/>
  <headerFooter>
    <oddFooter>&amp;LVersion 7&amp;RAugust 2023</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71"/>
    <col customWidth="1" min="3" max="3" width="19.86"/>
    <col customWidth="1" min="4" max="4" width="5.29"/>
    <col customWidth="1" min="5" max="5" width="12.29"/>
    <col customWidth="1" min="6" max="6" width="5.29"/>
    <col customWidth="1" min="7" max="7" width="8.71"/>
    <col customWidth="1" min="8" max="8" width="9.14"/>
  </cols>
  <sheetData>
    <row r="1" ht="15.0" customHeight="1"/>
    <row r="2" ht="15.75" customHeight="1">
      <c r="A2" s="334" t="s">
        <v>494</v>
      </c>
      <c r="B2" s="279" t="s">
        <v>495</v>
      </c>
      <c r="C2" s="67"/>
      <c r="D2" s="67"/>
      <c r="E2" s="67"/>
      <c r="F2" s="67"/>
      <c r="G2" s="67"/>
      <c r="H2" s="68"/>
    </row>
    <row r="3" ht="15.75" customHeight="1">
      <c r="A3" s="335" t="str">
        <f>CONCATENATE("Compliance based on ",IF(Path="","",Path))</f>
        <v>Compliance based on Appendix G PRM</v>
      </c>
      <c r="B3" s="67"/>
      <c r="C3" s="67"/>
      <c r="D3" s="67"/>
      <c r="E3" s="67"/>
      <c r="F3" s="67"/>
      <c r="G3" s="67"/>
      <c r="H3" s="68"/>
    </row>
    <row r="4" ht="32.25" customHeight="1">
      <c r="A4" s="226" t="s">
        <v>349</v>
      </c>
      <c r="B4" s="46"/>
      <c r="C4" s="228" t="s">
        <v>498</v>
      </c>
      <c r="D4" s="228" t="s">
        <v>499</v>
      </c>
      <c r="E4" s="228" t="s">
        <v>500</v>
      </c>
      <c r="F4" s="228" t="s">
        <v>499</v>
      </c>
      <c r="G4" s="228" t="s">
        <v>364</v>
      </c>
      <c r="H4" s="228" t="s">
        <v>184</v>
      </c>
    </row>
    <row r="5" ht="17.25" customHeight="1">
      <c r="A5" s="49"/>
      <c r="B5" s="51"/>
      <c r="C5" s="193" t="s">
        <v>239</v>
      </c>
      <c r="D5" s="68"/>
      <c r="E5" s="228"/>
      <c r="F5" s="228"/>
      <c r="G5" s="228"/>
      <c r="H5" s="228"/>
    </row>
    <row r="6" ht="34.5" customHeight="1">
      <c r="A6" s="145" t="s">
        <v>501</v>
      </c>
      <c r="B6" s="68"/>
      <c r="C6" s="336" t="str">
        <f>IF(E6="","",IF($C$5="","",IF(Path="Section 11 ECB",E6,VLOOKUP(C5,Lists!$A$95:$B$128,2))))</f>
        <v>Gas Storage Water Heater</v>
      </c>
      <c r="D6" s="68"/>
      <c r="E6" s="337" t="s">
        <v>502</v>
      </c>
      <c r="F6" s="68"/>
      <c r="G6" s="240" t="s">
        <v>503</v>
      </c>
      <c r="H6" s="112" t="s">
        <v>340</v>
      </c>
    </row>
    <row r="7">
      <c r="A7" s="95" t="s">
        <v>504</v>
      </c>
      <c r="B7" s="68"/>
      <c r="C7" s="112"/>
      <c r="D7" s="237" t="s">
        <v>505</v>
      </c>
      <c r="E7" s="112">
        <v>29.5</v>
      </c>
      <c r="F7" s="237" t="s">
        <v>506</v>
      </c>
      <c r="G7" s="240" t="s">
        <v>503</v>
      </c>
      <c r="H7" s="112" t="s">
        <v>340</v>
      </c>
    </row>
    <row r="8">
      <c r="A8" s="95" t="s">
        <v>507</v>
      </c>
      <c r="B8" s="68"/>
      <c r="C8" s="112">
        <v>0.8</v>
      </c>
      <c r="D8" s="237" t="s">
        <v>508</v>
      </c>
      <c r="E8" s="112">
        <v>0.93</v>
      </c>
      <c r="F8" s="237" t="s">
        <v>509</v>
      </c>
      <c r="G8" s="240" t="s">
        <v>503</v>
      </c>
      <c r="H8" s="112" t="s">
        <v>340</v>
      </c>
    </row>
    <row r="9">
      <c r="A9" s="95" t="s">
        <v>510</v>
      </c>
      <c r="B9" s="68"/>
      <c r="C9" s="112"/>
      <c r="D9" s="99" t="s">
        <v>512</v>
      </c>
      <c r="E9" s="112">
        <v>395.0</v>
      </c>
      <c r="F9" s="338" t="s">
        <v>512</v>
      </c>
      <c r="G9" s="240" t="s">
        <v>503</v>
      </c>
      <c r="H9" s="112" t="s">
        <v>340</v>
      </c>
    </row>
    <row r="10">
      <c r="A10" s="95" t="s">
        <v>513</v>
      </c>
      <c r="B10" s="68"/>
      <c r="C10" s="112">
        <v>120.0</v>
      </c>
      <c r="D10" s="99" t="s">
        <v>514</v>
      </c>
      <c r="E10" s="112">
        <v>120.0</v>
      </c>
      <c r="F10" s="338" t="s">
        <v>514</v>
      </c>
      <c r="G10" s="240" t="s">
        <v>503</v>
      </c>
      <c r="H10" s="112" t="s">
        <v>340</v>
      </c>
    </row>
    <row r="11" ht="16.5" customHeight="1">
      <c r="A11" s="95" t="s">
        <v>517</v>
      </c>
      <c r="B11" s="68"/>
      <c r="C11" s="112"/>
      <c r="D11" s="99" t="s">
        <v>518</v>
      </c>
      <c r="E11" s="112">
        <v>0.58</v>
      </c>
      <c r="F11" s="338" t="s">
        <v>518</v>
      </c>
      <c r="G11" s="240" t="s">
        <v>503</v>
      </c>
      <c r="H11" s="112" t="s">
        <v>340</v>
      </c>
    </row>
    <row r="12" ht="21.75" customHeight="1">
      <c r="A12" s="95" t="s">
        <v>519</v>
      </c>
      <c r="B12" s="68"/>
      <c r="C12" s="339"/>
      <c r="D12" s="99" t="s">
        <v>491</v>
      </c>
      <c r="E12" s="339">
        <v>8.0</v>
      </c>
      <c r="F12" s="338" t="s">
        <v>491</v>
      </c>
      <c r="G12" s="240" t="s">
        <v>503</v>
      </c>
      <c r="H12" s="112" t="s">
        <v>340</v>
      </c>
    </row>
    <row r="13" ht="24.0" customHeight="1">
      <c r="A13" s="95" t="s">
        <v>521</v>
      </c>
      <c r="B13" s="68"/>
      <c r="C13" s="339"/>
      <c r="D13" s="99" t="s">
        <v>506</v>
      </c>
      <c r="E13" s="339">
        <v>4.18</v>
      </c>
      <c r="F13" s="338" t="s">
        <v>506</v>
      </c>
      <c r="G13" s="240" t="s">
        <v>503</v>
      </c>
      <c r="H13" s="112" t="s">
        <v>340</v>
      </c>
    </row>
    <row r="14" ht="24.0" customHeight="1">
      <c r="A14" s="95" t="s">
        <v>522</v>
      </c>
      <c r="B14" s="68"/>
      <c r="C14" s="339" t="s">
        <v>524</v>
      </c>
      <c r="D14" s="68"/>
      <c r="E14" s="337" t="s">
        <v>525</v>
      </c>
      <c r="F14" s="68"/>
      <c r="G14" s="240" t="s">
        <v>503</v>
      </c>
      <c r="H14" s="112" t="s">
        <v>340</v>
      </c>
    </row>
    <row r="16" ht="30.0" customHeight="1">
      <c r="A16" s="161" t="s">
        <v>526</v>
      </c>
      <c r="B16" s="67"/>
      <c r="C16" s="342" t="s">
        <v>528</v>
      </c>
      <c r="D16" s="67"/>
      <c r="E16" s="67"/>
      <c r="F16" s="67"/>
      <c r="G16" s="67"/>
      <c r="H16" s="68"/>
    </row>
    <row r="17">
      <c r="A17" s="180" t="s">
        <v>529</v>
      </c>
      <c r="B17" s="45"/>
      <c r="C17" s="45"/>
      <c r="D17" s="45"/>
      <c r="E17" s="45"/>
      <c r="F17" s="45"/>
      <c r="G17" s="45"/>
      <c r="H17" s="46"/>
    </row>
    <row r="18">
      <c r="A18" s="47"/>
      <c r="H18" s="48"/>
    </row>
    <row r="19">
      <c r="A19" s="47"/>
      <c r="H19" s="48"/>
    </row>
    <row r="20">
      <c r="A20" s="47"/>
      <c r="H20" s="48"/>
    </row>
    <row r="21" ht="15.75" customHeight="1">
      <c r="A21" s="47"/>
      <c r="H21" s="48"/>
    </row>
    <row r="22" ht="15.75" customHeight="1">
      <c r="A22" s="47"/>
      <c r="H22" s="48"/>
    </row>
    <row r="23" ht="15.75" customHeight="1">
      <c r="A23" s="47"/>
      <c r="H23" s="48"/>
    </row>
    <row r="24" ht="15.75" customHeight="1">
      <c r="A24" s="47"/>
      <c r="H24" s="48"/>
    </row>
    <row r="25" ht="15.75" customHeight="1">
      <c r="A25" s="47"/>
      <c r="H25" s="48"/>
    </row>
    <row r="26" ht="15.75" customHeight="1">
      <c r="A26" s="47"/>
      <c r="H26" s="48"/>
    </row>
    <row r="27" ht="15.75" customHeight="1">
      <c r="A27" s="47"/>
      <c r="H27" s="48"/>
    </row>
    <row r="28" ht="15.75" customHeight="1">
      <c r="A28" s="47"/>
      <c r="H28" s="48"/>
    </row>
    <row r="29" ht="15.75" customHeight="1">
      <c r="A29" s="47"/>
      <c r="H29" s="48"/>
    </row>
    <row r="30" ht="15.75" customHeight="1">
      <c r="A30" s="47"/>
      <c r="H30" s="48"/>
    </row>
    <row r="31" ht="15.75" customHeight="1">
      <c r="A31" s="47"/>
      <c r="H31" s="48"/>
    </row>
    <row r="32" ht="15.75" customHeight="1">
      <c r="A32" s="47"/>
      <c r="H32" s="48"/>
    </row>
    <row r="33" ht="15.75" customHeight="1">
      <c r="A33" s="47"/>
      <c r="H33" s="48"/>
    </row>
    <row r="34" ht="15.75" customHeight="1">
      <c r="A34" s="47"/>
      <c r="H34" s="48"/>
    </row>
    <row r="35" ht="15.75" customHeight="1">
      <c r="A35" s="49"/>
      <c r="B35" s="50"/>
      <c r="C35" s="50"/>
      <c r="D35" s="50"/>
      <c r="E35" s="50"/>
      <c r="F35" s="50"/>
      <c r="G35" s="50"/>
      <c r="H35" s="5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H2"/>
    <mergeCell ref="A3:H3"/>
    <mergeCell ref="A4:B5"/>
    <mergeCell ref="C5:D5"/>
    <mergeCell ref="A6:B6"/>
    <mergeCell ref="C6:D6"/>
    <mergeCell ref="E6:F6"/>
    <mergeCell ref="A14:B14"/>
    <mergeCell ref="C14:D14"/>
    <mergeCell ref="E14:F14"/>
    <mergeCell ref="C16:H16"/>
    <mergeCell ref="A17:H35"/>
    <mergeCell ref="A7:B7"/>
    <mergeCell ref="A8:B8"/>
    <mergeCell ref="A9:B9"/>
    <mergeCell ref="A10:B10"/>
    <mergeCell ref="A11:B11"/>
    <mergeCell ref="A12:B12"/>
    <mergeCell ref="A13:B13"/>
    <mergeCell ref="A16:B16"/>
  </mergeCells>
  <conditionalFormatting sqref="C7:C13">
    <cfRule type="containsBlanks" dxfId="0" priority="1">
      <formula>LEN(TRIM(C7))=0</formula>
    </cfRule>
  </conditionalFormatting>
  <conditionalFormatting sqref="E7:E13">
    <cfRule type="containsBlanks" dxfId="0" priority="2">
      <formula>LEN(TRIM(E7))=0</formula>
    </cfRule>
  </conditionalFormatting>
  <conditionalFormatting sqref="G6:H14">
    <cfRule type="containsBlanks" dxfId="0" priority="3">
      <formula>LEN(TRIM(G6))=0</formula>
    </cfRule>
  </conditionalFormatting>
  <conditionalFormatting sqref="E6:F6">
    <cfRule type="containsBlanks" dxfId="0" priority="4">
      <formula>LEN(TRIM(E6))=0</formula>
    </cfRule>
  </conditionalFormatting>
  <dataValidations>
    <dataValidation type="list" allowBlank="1" showErrorMessage="1" sqref="C5">
      <formula1>Lists!$A$95:$A$128</formula1>
    </dataValidation>
    <dataValidation type="list" allowBlank="1" showErrorMessage="1" sqref="F8">
      <formula1>Lists!$Q$4:$Q$7</formula1>
    </dataValidation>
    <dataValidation type="list" allowBlank="1" showErrorMessage="1" sqref="D7">
      <formula1>$Q$1:$Q$2</formula1>
    </dataValidation>
    <dataValidation type="list" allowBlank="1" showErrorMessage="1" sqref="D8">
      <formula1>$Q$5:$Q$8</formula1>
    </dataValidation>
    <dataValidation type="list" allowBlank="1" showErrorMessage="1" sqref="F7">
      <formula1>Lists!$Q$1:$Q$2</formula1>
    </dataValidation>
  </dataValidations>
  <printOptions/>
  <pageMargins bottom="0.75" footer="0.0" header="0.0" left="0.7" right="0.7" top="0.75"/>
  <pageSetup orientation="portrait"/>
  <headerFooter>
    <oddFooter>&amp;LVersion 7&amp;RAugust 2023</oddFooter>
  </headerFooter>
  <colBreaks count="1" manualBreakCount="1">
    <brk id="8"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343"/>
      <c r="B1" s="343"/>
      <c r="C1" s="343"/>
      <c r="D1" s="343"/>
      <c r="E1" s="343"/>
      <c r="F1" s="343"/>
      <c r="G1" s="343"/>
      <c r="H1" s="343"/>
      <c r="I1" s="343"/>
      <c r="J1" s="343"/>
      <c r="K1" s="343"/>
      <c r="L1" s="343"/>
      <c r="M1" s="343"/>
      <c r="N1" s="343"/>
      <c r="O1" s="343"/>
      <c r="P1" s="343"/>
      <c r="Q1" s="343"/>
    </row>
    <row r="2">
      <c r="A2" s="344" t="s">
        <v>530</v>
      </c>
      <c r="B2" s="57"/>
      <c r="C2" s="57"/>
      <c r="D2" s="57"/>
      <c r="E2" s="57"/>
      <c r="F2" s="57"/>
      <c r="G2" s="57"/>
      <c r="H2" s="57"/>
      <c r="I2" s="57"/>
      <c r="J2" s="57"/>
      <c r="K2" s="343"/>
      <c r="L2" s="343"/>
      <c r="M2" s="345" t="s">
        <v>1</v>
      </c>
      <c r="N2" s="67"/>
      <c r="O2" s="67"/>
      <c r="P2" s="67"/>
      <c r="Q2" s="68"/>
    </row>
    <row r="3">
      <c r="A3" s="346"/>
      <c r="K3" s="343"/>
      <c r="L3" s="343"/>
      <c r="M3" s="347" t="s">
        <v>3</v>
      </c>
      <c r="N3" s="67"/>
      <c r="O3" s="67"/>
      <c r="P3" s="67"/>
      <c r="Q3" s="68"/>
    </row>
    <row r="4">
      <c r="A4" s="346"/>
      <c r="K4" s="343"/>
      <c r="L4" s="343"/>
      <c r="M4" s="348" t="s">
        <v>6</v>
      </c>
      <c r="N4" s="67"/>
      <c r="O4" s="67"/>
      <c r="P4" s="67"/>
      <c r="Q4" s="68"/>
    </row>
    <row r="5">
      <c r="A5" s="346"/>
      <c r="K5" s="343"/>
      <c r="L5" s="343"/>
      <c r="M5" s="350" t="s">
        <v>9</v>
      </c>
      <c r="N5" s="67"/>
      <c r="O5" s="67"/>
      <c r="P5" s="67"/>
      <c r="Q5" s="68"/>
    </row>
    <row r="6">
      <c r="A6" s="346"/>
      <c r="K6" s="343"/>
      <c r="L6" s="343"/>
      <c r="M6" s="351" t="s">
        <v>11</v>
      </c>
      <c r="N6" s="67"/>
      <c r="O6" s="67"/>
      <c r="P6" s="67"/>
      <c r="Q6" s="68"/>
    </row>
    <row r="7">
      <c r="A7" s="343"/>
      <c r="B7" s="343"/>
      <c r="C7" s="343"/>
      <c r="D7" s="343"/>
      <c r="E7" s="343"/>
      <c r="F7" s="343"/>
      <c r="G7" s="343"/>
      <c r="H7" s="343"/>
      <c r="I7" s="343"/>
      <c r="J7" s="343"/>
      <c r="K7" s="343"/>
      <c r="L7" s="343"/>
      <c r="M7" s="354" t="s">
        <v>13</v>
      </c>
      <c r="N7" s="67"/>
      <c r="O7" s="67"/>
      <c r="P7" s="67"/>
      <c r="Q7" s="68"/>
    </row>
    <row r="8">
      <c r="A8" s="355"/>
      <c r="B8" s="343"/>
      <c r="C8" s="343"/>
      <c r="D8" s="343"/>
      <c r="E8" s="343"/>
      <c r="F8" s="343"/>
      <c r="G8" s="343"/>
      <c r="H8" s="343"/>
      <c r="I8" s="343"/>
      <c r="J8" s="343"/>
      <c r="K8" s="343"/>
      <c r="L8" s="343"/>
      <c r="M8" s="356" t="s">
        <v>16</v>
      </c>
      <c r="N8" s="67"/>
      <c r="O8" s="67"/>
      <c r="P8" s="67"/>
      <c r="Q8" s="68"/>
    </row>
    <row r="9">
      <c r="A9" s="355" t="s">
        <v>539</v>
      </c>
      <c r="B9" s="343"/>
      <c r="C9" s="343"/>
      <c r="D9" s="343"/>
      <c r="E9" s="343"/>
      <c r="F9" s="343"/>
      <c r="G9" s="343"/>
      <c r="H9" s="343"/>
      <c r="I9" s="343"/>
      <c r="J9" s="343"/>
      <c r="K9" s="343"/>
      <c r="L9" s="343"/>
      <c r="M9" s="358" t="s">
        <v>17</v>
      </c>
      <c r="N9" s="67"/>
      <c r="O9" s="67"/>
      <c r="P9" s="67"/>
      <c r="Q9" s="68"/>
    </row>
    <row r="10">
      <c r="A10" s="355" t="s">
        <v>542</v>
      </c>
      <c r="B10" s="343"/>
      <c r="C10" s="343"/>
      <c r="D10" s="343"/>
      <c r="E10" s="343"/>
      <c r="F10" s="343"/>
      <c r="G10" s="343"/>
      <c r="H10" s="343"/>
      <c r="I10" s="343"/>
      <c r="J10" s="343"/>
      <c r="K10" s="343"/>
      <c r="L10" s="343"/>
      <c r="M10" s="359" t="s">
        <v>18</v>
      </c>
      <c r="N10" s="67"/>
      <c r="O10" s="67"/>
      <c r="P10" s="67"/>
      <c r="Q10" s="68"/>
    </row>
    <row r="11">
      <c r="A11" s="355" t="s">
        <v>544</v>
      </c>
      <c r="B11" s="343"/>
      <c r="C11" s="343"/>
      <c r="D11" s="343"/>
      <c r="E11" s="343"/>
      <c r="F11" s="343"/>
      <c r="G11" s="343"/>
      <c r="H11" s="343"/>
      <c r="I11" s="343"/>
      <c r="J11" s="343"/>
      <c r="K11" s="343"/>
      <c r="L11" s="343"/>
      <c r="M11" s="343"/>
      <c r="N11" s="343"/>
      <c r="O11" s="343"/>
      <c r="P11" s="343"/>
      <c r="Q11" s="343"/>
    </row>
    <row r="12">
      <c r="A12" s="355" t="s">
        <v>547</v>
      </c>
      <c r="B12" s="343"/>
      <c r="C12" s="343"/>
      <c r="D12" s="343"/>
      <c r="E12" s="343"/>
      <c r="F12" s="343"/>
      <c r="G12" s="343"/>
      <c r="H12" s="343"/>
      <c r="I12" s="343"/>
      <c r="J12" s="343"/>
      <c r="K12" s="343"/>
      <c r="L12" s="343"/>
      <c r="M12" s="343"/>
      <c r="N12" s="343"/>
      <c r="O12" s="343"/>
      <c r="P12" s="343"/>
      <c r="Q12" s="343"/>
    </row>
    <row r="13">
      <c r="A13" s="355" t="s">
        <v>551</v>
      </c>
      <c r="B13" s="343"/>
      <c r="C13" s="343"/>
      <c r="D13" s="343"/>
      <c r="E13" s="343"/>
      <c r="F13" s="343"/>
      <c r="G13" s="343"/>
      <c r="H13" s="343"/>
      <c r="I13" s="343"/>
      <c r="J13" s="343"/>
      <c r="K13" s="343"/>
      <c r="L13" s="343"/>
      <c r="M13" s="343"/>
      <c r="N13" s="343"/>
      <c r="O13" s="343"/>
      <c r="P13" s="343"/>
      <c r="Q13" s="343"/>
    </row>
    <row r="14">
      <c r="A14" s="355" t="s">
        <v>553</v>
      </c>
      <c r="B14" s="343"/>
      <c r="C14" s="343"/>
      <c r="D14" s="343"/>
      <c r="E14" s="343"/>
      <c r="F14" s="343"/>
      <c r="G14" s="343"/>
      <c r="H14" s="343"/>
      <c r="I14" s="343"/>
      <c r="J14" s="343"/>
      <c r="K14" s="343"/>
      <c r="L14" s="343"/>
      <c r="M14" s="343"/>
      <c r="N14" s="343"/>
      <c r="O14" s="343"/>
      <c r="P14" s="343"/>
      <c r="Q14" s="343"/>
    </row>
    <row r="15">
      <c r="A15" s="355" t="s">
        <v>554</v>
      </c>
      <c r="B15" s="343"/>
      <c r="C15" s="343"/>
      <c r="D15" s="343"/>
      <c r="E15" s="343"/>
      <c r="F15" s="343"/>
      <c r="G15" s="343"/>
      <c r="H15" s="343"/>
      <c r="I15" s="343"/>
      <c r="J15" s="343"/>
      <c r="K15" s="343"/>
      <c r="L15" s="343"/>
      <c r="M15" s="343"/>
      <c r="N15" s="343"/>
      <c r="O15" s="343"/>
      <c r="P15" s="343"/>
      <c r="Q15" s="343"/>
    </row>
    <row r="16">
      <c r="A16" s="355" t="s">
        <v>559</v>
      </c>
      <c r="B16" s="343"/>
      <c r="C16" s="343"/>
      <c r="D16" s="343"/>
      <c r="E16" s="343"/>
      <c r="F16" s="343"/>
      <c r="G16" s="343"/>
      <c r="H16" s="343"/>
      <c r="I16" s="343"/>
      <c r="J16" s="343"/>
      <c r="K16" s="343"/>
      <c r="L16" s="343"/>
      <c r="M16" s="343"/>
      <c r="N16" s="343"/>
      <c r="O16" s="343"/>
      <c r="P16" s="343"/>
      <c r="Q16" s="343"/>
    </row>
    <row r="17">
      <c r="A17" s="355" t="s">
        <v>562</v>
      </c>
      <c r="B17" s="343"/>
      <c r="C17" s="343"/>
      <c r="D17" s="343"/>
      <c r="E17" s="343"/>
      <c r="F17" s="343"/>
      <c r="G17" s="343"/>
      <c r="H17" s="343"/>
      <c r="I17" s="343"/>
      <c r="J17" s="343"/>
      <c r="K17" s="343"/>
      <c r="L17" s="343"/>
      <c r="M17" s="343"/>
      <c r="N17" s="343"/>
      <c r="O17" s="343"/>
      <c r="P17" s="343"/>
      <c r="Q17" s="343"/>
    </row>
    <row r="18">
      <c r="A18" s="355" t="s">
        <v>566</v>
      </c>
      <c r="B18" s="343"/>
      <c r="C18" s="343"/>
      <c r="D18" s="343"/>
      <c r="E18" s="343"/>
      <c r="F18" s="343"/>
      <c r="G18" s="343"/>
      <c r="H18" s="343"/>
      <c r="I18" s="343"/>
      <c r="J18" s="343"/>
      <c r="K18" s="343"/>
      <c r="L18" s="343"/>
      <c r="M18" s="343"/>
      <c r="N18" s="343"/>
      <c r="O18" s="343"/>
      <c r="P18" s="343"/>
      <c r="Q18" s="343"/>
    </row>
    <row r="19">
      <c r="A19" s="355" t="s">
        <v>569</v>
      </c>
      <c r="B19" s="343"/>
      <c r="C19" s="343"/>
      <c r="D19" s="343"/>
      <c r="E19" s="343"/>
      <c r="F19" s="343"/>
      <c r="G19" s="343"/>
      <c r="H19" s="343"/>
      <c r="I19" s="343"/>
      <c r="J19" s="343"/>
      <c r="K19" s="343"/>
      <c r="L19" s="343"/>
      <c r="M19" s="343"/>
      <c r="N19" s="343"/>
      <c r="O19" s="343"/>
      <c r="P19" s="343"/>
      <c r="Q19" s="343"/>
    </row>
    <row r="20">
      <c r="A20" s="355" t="s">
        <v>571</v>
      </c>
      <c r="B20" s="343"/>
      <c r="C20" s="343"/>
      <c r="D20" s="343"/>
      <c r="E20" s="343"/>
      <c r="F20" s="343"/>
      <c r="G20" s="343"/>
      <c r="H20" s="343"/>
      <c r="I20" s="343"/>
      <c r="J20" s="343"/>
      <c r="K20" s="343"/>
      <c r="L20" s="343"/>
      <c r="M20" s="343"/>
      <c r="N20" s="343"/>
      <c r="O20" s="343"/>
      <c r="P20" s="343"/>
      <c r="Q20" s="343"/>
    </row>
    <row r="21" ht="15.75" customHeight="1">
      <c r="A21" s="355" t="s">
        <v>575</v>
      </c>
      <c r="B21" s="343"/>
      <c r="C21" s="343"/>
      <c r="D21" s="343"/>
      <c r="E21" s="343"/>
      <c r="F21" s="343"/>
      <c r="G21" s="343"/>
      <c r="H21" s="343"/>
      <c r="I21" s="343"/>
      <c r="J21" s="343"/>
      <c r="K21" s="343"/>
      <c r="L21" s="343"/>
      <c r="M21" s="343"/>
      <c r="N21" s="343"/>
      <c r="O21" s="343"/>
      <c r="P21" s="343"/>
      <c r="Q21" s="343"/>
    </row>
    <row r="22" ht="15.75" customHeight="1">
      <c r="A22" s="355" t="s">
        <v>577</v>
      </c>
      <c r="B22" s="343"/>
      <c r="C22" s="343"/>
      <c r="D22" s="343"/>
      <c r="E22" s="343"/>
      <c r="F22" s="343"/>
      <c r="G22" s="343"/>
      <c r="H22" s="343"/>
      <c r="I22" s="343"/>
      <c r="J22" s="343"/>
      <c r="K22" s="343"/>
      <c r="L22" s="343"/>
      <c r="M22" s="343"/>
      <c r="N22" s="343"/>
      <c r="O22" s="343"/>
      <c r="P22" s="343"/>
      <c r="Q22" s="343"/>
    </row>
    <row r="23" ht="15.75" customHeight="1">
      <c r="A23" s="355" t="s">
        <v>581</v>
      </c>
      <c r="B23" s="343"/>
      <c r="C23" s="343"/>
      <c r="D23" s="343"/>
      <c r="E23" s="343"/>
      <c r="F23" s="343"/>
      <c r="G23" s="343"/>
      <c r="H23" s="343"/>
      <c r="I23" s="343"/>
      <c r="J23" s="343"/>
      <c r="K23" s="343"/>
      <c r="L23" s="343"/>
      <c r="M23" s="343"/>
      <c r="N23" s="343"/>
      <c r="O23" s="343"/>
      <c r="P23" s="343"/>
      <c r="Q23" s="343"/>
    </row>
    <row r="24" ht="15.75" customHeight="1">
      <c r="A24" s="355" t="s">
        <v>586</v>
      </c>
      <c r="B24" s="343"/>
      <c r="C24" s="343"/>
      <c r="D24" s="343"/>
      <c r="E24" s="343"/>
      <c r="F24" s="343"/>
      <c r="G24" s="343"/>
      <c r="H24" s="343"/>
      <c r="I24" s="343"/>
      <c r="J24" s="343"/>
      <c r="K24" s="343"/>
      <c r="L24" s="343"/>
      <c r="M24" s="343"/>
      <c r="N24" s="343"/>
      <c r="O24" s="343"/>
      <c r="P24" s="343"/>
      <c r="Q24" s="343"/>
    </row>
    <row r="25" ht="15.75" customHeight="1">
      <c r="A25" s="355" t="s">
        <v>589</v>
      </c>
      <c r="B25" s="343"/>
      <c r="C25" s="343"/>
      <c r="D25" s="343"/>
      <c r="E25" s="343"/>
      <c r="F25" s="343"/>
      <c r="G25" s="343"/>
      <c r="H25" s="343"/>
      <c r="I25" s="343"/>
      <c r="J25" s="343"/>
      <c r="K25" s="343"/>
      <c r="L25" s="343"/>
      <c r="M25" s="343"/>
      <c r="N25" s="343"/>
      <c r="O25" s="343"/>
      <c r="P25" s="343"/>
      <c r="Q25" s="343"/>
    </row>
    <row r="26" ht="15.75" customHeight="1">
      <c r="A26" s="355" t="s">
        <v>590</v>
      </c>
      <c r="B26" s="343"/>
      <c r="C26" s="343"/>
      <c r="D26" s="343"/>
      <c r="E26" s="343"/>
      <c r="F26" s="343"/>
      <c r="G26" s="343"/>
      <c r="H26" s="343"/>
      <c r="I26" s="343"/>
      <c r="J26" s="343"/>
      <c r="K26" s="343"/>
      <c r="L26" s="343"/>
      <c r="M26" s="343"/>
      <c r="N26" s="343"/>
      <c r="O26" s="343"/>
      <c r="P26" s="343"/>
      <c r="Q26" s="343"/>
    </row>
    <row r="27" ht="15.75" customHeight="1">
      <c r="A27" s="355" t="s">
        <v>594</v>
      </c>
      <c r="B27" s="343"/>
      <c r="C27" s="343"/>
      <c r="D27" s="343"/>
      <c r="E27" s="343"/>
      <c r="F27" s="343"/>
      <c r="G27" s="343"/>
      <c r="H27" s="343"/>
      <c r="I27" s="343"/>
      <c r="J27" s="343"/>
      <c r="K27" s="343"/>
      <c r="L27" s="343"/>
      <c r="M27" s="343"/>
      <c r="N27" s="343"/>
      <c r="O27" s="343"/>
      <c r="P27" s="343"/>
      <c r="Q27" s="343"/>
    </row>
    <row r="28" ht="15.75" customHeight="1">
      <c r="A28" s="355" t="s">
        <v>602</v>
      </c>
      <c r="B28" s="343"/>
      <c r="C28" s="343"/>
      <c r="D28" s="343"/>
      <c r="E28" s="343"/>
      <c r="F28" s="343"/>
      <c r="G28" s="343"/>
      <c r="H28" s="343"/>
      <c r="I28" s="343"/>
      <c r="J28" s="343"/>
      <c r="K28" s="343"/>
      <c r="L28" s="343"/>
      <c r="M28" s="343"/>
      <c r="N28" s="343"/>
      <c r="O28" s="343"/>
      <c r="P28" s="343"/>
      <c r="Q28" s="343"/>
    </row>
    <row r="29" ht="15.75" customHeight="1">
      <c r="A29" s="355" t="s">
        <v>618</v>
      </c>
      <c r="B29" s="343"/>
      <c r="C29" s="343"/>
      <c r="D29" s="343"/>
      <c r="E29" s="343"/>
      <c r="F29" s="343"/>
      <c r="G29" s="343"/>
      <c r="H29" s="343"/>
      <c r="I29" s="343"/>
      <c r="J29" s="343"/>
      <c r="K29" s="343"/>
      <c r="L29" s="343"/>
      <c r="M29" s="343"/>
      <c r="N29" s="343"/>
      <c r="O29" s="343"/>
      <c r="P29" s="343"/>
      <c r="Q29" s="343"/>
    </row>
    <row r="30" ht="15.75" customHeight="1">
      <c r="A30" s="355" t="s">
        <v>634</v>
      </c>
      <c r="B30" s="343"/>
      <c r="C30" s="343"/>
      <c r="D30" s="343"/>
      <c r="E30" s="343"/>
      <c r="F30" s="343"/>
      <c r="G30" s="343"/>
      <c r="H30" s="343"/>
      <c r="I30" s="343"/>
      <c r="J30" s="343"/>
      <c r="K30" s="343"/>
      <c r="L30" s="343"/>
      <c r="M30" s="343"/>
      <c r="N30" s="343"/>
      <c r="O30" s="343"/>
      <c r="P30" s="343"/>
      <c r="Q30" s="343"/>
    </row>
    <row r="31" ht="15.75" customHeight="1">
      <c r="A31" s="355" t="s">
        <v>643</v>
      </c>
      <c r="B31" s="343"/>
      <c r="C31" s="343"/>
      <c r="D31" s="343"/>
      <c r="E31" s="343"/>
      <c r="F31" s="343"/>
      <c r="G31" s="343"/>
      <c r="H31" s="343"/>
      <c r="I31" s="343"/>
      <c r="J31" s="343"/>
      <c r="K31" s="343"/>
      <c r="L31" s="343"/>
      <c r="M31" s="343"/>
      <c r="N31" s="343"/>
      <c r="O31" s="343"/>
      <c r="P31" s="343"/>
      <c r="Q31" s="343"/>
    </row>
    <row r="32" ht="15.75" customHeight="1">
      <c r="A32" s="355" t="s">
        <v>649</v>
      </c>
      <c r="B32" s="343"/>
      <c r="C32" s="343"/>
      <c r="D32" s="343"/>
      <c r="E32" s="343"/>
      <c r="F32" s="343"/>
      <c r="G32" s="343"/>
      <c r="H32" s="343"/>
      <c r="I32" s="343"/>
      <c r="J32" s="343"/>
      <c r="K32" s="343"/>
      <c r="L32" s="343"/>
      <c r="M32" s="343"/>
      <c r="N32" s="343"/>
      <c r="O32" s="343"/>
      <c r="P32" s="343"/>
      <c r="Q32" s="343"/>
    </row>
    <row r="33" ht="15.75" customHeight="1">
      <c r="A33" s="355" t="s">
        <v>652</v>
      </c>
      <c r="B33" s="343"/>
      <c r="C33" s="343"/>
      <c r="D33" s="343"/>
      <c r="E33" s="343"/>
      <c r="F33" s="343"/>
      <c r="G33" s="343"/>
      <c r="H33" s="343"/>
      <c r="I33" s="343"/>
      <c r="J33" s="343"/>
      <c r="K33" s="343"/>
      <c r="L33" s="343"/>
      <c r="M33" s="343"/>
      <c r="N33" s="343"/>
      <c r="O33" s="343"/>
      <c r="P33" s="343"/>
      <c r="Q33" s="343"/>
    </row>
    <row r="34" ht="15.75" customHeight="1">
      <c r="A34" s="355" t="s">
        <v>656</v>
      </c>
      <c r="B34" s="343"/>
      <c r="C34" s="343"/>
      <c r="D34" s="343"/>
      <c r="E34" s="343"/>
      <c r="F34" s="343"/>
      <c r="G34" s="343"/>
      <c r="H34" s="343"/>
      <c r="I34" s="343"/>
      <c r="J34" s="343"/>
      <c r="K34" s="343"/>
      <c r="L34" s="343"/>
      <c r="M34" s="343"/>
      <c r="N34" s="343"/>
      <c r="O34" s="343"/>
      <c r="P34" s="343"/>
      <c r="Q34" s="343"/>
    </row>
    <row r="35" ht="15.75" customHeight="1">
      <c r="A35" s="355" t="s">
        <v>668</v>
      </c>
      <c r="B35" s="343"/>
      <c r="C35" s="343"/>
      <c r="D35" s="343"/>
      <c r="E35" s="343"/>
      <c r="F35" s="343"/>
      <c r="G35" s="343"/>
      <c r="H35" s="343"/>
      <c r="I35" s="343"/>
      <c r="J35" s="343"/>
      <c r="K35" s="343"/>
      <c r="L35" s="343"/>
      <c r="M35" s="343"/>
      <c r="N35" s="343"/>
      <c r="O35" s="343"/>
      <c r="P35" s="343"/>
      <c r="Q35" s="343"/>
    </row>
    <row r="36" ht="15.75" customHeight="1">
      <c r="A36" s="355" t="s">
        <v>675</v>
      </c>
      <c r="B36" s="343"/>
      <c r="C36" s="343"/>
      <c r="D36" s="343"/>
      <c r="E36" s="343"/>
      <c r="F36" s="343"/>
      <c r="G36" s="343"/>
      <c r="H36" s="343"/>
      <c r="I36" s="343"/>
      <c r="J36" s="343"/>
      <c r="K36" s="343"/>
      <c r="L36" s="343"/>
      <c r="M36" s="343"/>
      <c r="N36" s="343"/>
      <c r="O36" s="343"/>
      <c r="P36" s="343"/>
      <c r="Q36" s="343"/>
    </row>
    <row r="37" ht="15.75" customHeight="1">
      <c r="A37" s="355" t="s">
        <v>693</v>
      </c>
      <c r="B37" s="343"/>
      <c r="C37" s="343"/>
      <c r="D37" s="343"/>
      <c r="E37" s="343"/>
      <c r="F37" s="343"/>
      <c r="G37" s="343"/>
      <c r="H37" s="343"/>
      <c r="I37" s="343"/>
      <c r="J37" s="343"/>
      <c r="K37" s="343"/>
      <c r="L37" s="343"/>
      <c r="M37" s="343"/>
      <c r="N37" s="343"/>
      <c r="O37" s="343"/>
      <c r="P37" s="343"/>
      <c r="Q37" s="343"/>
    </row>
    <row r="38" ht="15.75" customHeight="1">
      <c r="A38" s="355" t="s">
        <v>708</v>
      </c>
      <c r="B38" s="343"/>
      <c r="C38" s="343"/>
      <c r="D38" s="343"/>
      <c r="E38" s="343"/>
      <c r="F38" s="343"/>
      <c r="G38" s="343"/>
      <c r="H38" s="343"/>
      <c r="I38" s="343"/>
      <c r="J38" s="343"/>
      <c r="K38" s="343"/>
      <c r="L38" s="343"/>
      <c r="M38" s="343"/>
      <c r="N38" s="343"/>
      <c r="O38" s="343"/>
      <c r="P38" s="343"/>
      <c r="Q38" s="343"/>
    </row>
    <row r="39" ht="15.75" customHeight="1">
      <c r="A39" s="355" t="s">
        <v>722</v>
      </c>
      <c r="B39" s="343"/>
      <c r="C39" s="343"/>
      <c r="D39" s="343"/>
      <c r="E39" s="343"/>
      <c r="F39" s="343"/>
      <c r="G39" s="343"/>
      <c r="H39" s="343"/>
      <c r="I39" s="343"/>
      <c r="J39" s="343"/>
      <c r="K39" s="343"/>
      <c r="L39" s="343"/>
      <c r="M39" s="343"/>
      <c r="N39" s="343"/>
      <c r="O39" s="343"/>
      <c r="P39" s="343"/>
      <c r="Q39" s="343"/>
    </row>
    <row r="40" ht="15.75" customHeight="1">
      <c r="A40" s="355" t="s">
        <v>730</v>
      </c>
      <c r="B40" s="343"/>
      <c r="C40" s="343"/>
      <c r="D40" s="343"/>
      <c r="E40" s="343"/>
      <c r="F40" s="343"/>
      <c r="G40" s="343"/>
      <c r="H40" s="343"/>
      <c r="I40" s="343"/>
      <c r="J40" s="343"/>
      <c r="K40" s="343"/>
      <c r="L40" s="343"/>
      <c r="M40" s="343"/>
      <c r="N40" s="343"/>
      <c r="O40" s="343"/>
      <c r="P40" s="343"/>
      <c r="Q40" s="343"/>
    </row>
    <row r="41" ht="15.75" customHeight="1">
      <c r="A41" s="355" t="s">
        <v>755</v>
      </c>
      <c r="B41" s="343"/>
      <c r="C41" s="343"/>
      <c r="D41" s="343"/>
      <c r="E41" s="343"/>
      <c r="F41" s="343"/>
      <c r="G41" s="343"/>
      <c r="H41" s="343"/>
      <c r="I41" s="343"/>
      <c r="J41" s="343"/>
      <c r="K41" s="343"/>
      <c r="L41" s="343"/>
      <c r="M41" s="343"/>
      <c r="N41" s="343"/>
      <c r="O41" s="343"/>
      <c r="P41" s="343"/>
      <c r="Q41" s="343"/>
    </row>
    <row r="42" ht="15.75" customHeight="1">
      <c r="A42" s="355" t="s">
        <v>769</v>
      </c>
      <c r="B42" s="343"/>
      <c r="C42" s="343"/>
      <c r="D42" s="343"/>
      <c r="E42" s="343"/>
      <c r="F42" s="343"/>
      <c r="G42" s="343"/>
      <c r="H42" s="343"/>
      <c r="I42" s="343"/>
      <c r="J42" s="343"/>
      <c r="K42" s="343"/>
      <c r="L42" s="343"/>
      <c r="M42" s="343"/>
      <c r="N42" s="343"/>
      <c r="O42" s="343"/>
      <c r="P42" s="343"/>
      <c r="Q42" s="343"/>
    </row>
    <row r="43" ht="15.75" customHeight="1">
      <c r="A43" s="355" t="s">
        <v>796</v>
      </c>
      <c r="B43" s="343"/>
      <c r="C43" s="343"/>
      <c r="D43" s="343"/>
      <c r="E43" s="343"/>
      <c r="F43" s="343"/>
      <c r="G43" s="343"/>
      <c r="H43" s="343"/>
      <c r="I43" s="343"/>
      <c r="J43" s="343"/>
      <c r="K43" s="343"/>
      <c r="L43" s="343"/>
      <c r="M43" s="343"/>
      <c r="N43" s="343"/>
      <c r="O43" s="343"/>
      <c r="P43" s="343"/>
      <c r="Q43" s="343"/>
    </row>
    <row r="44" ht="15.75" customHeight="1">
      <c r="A44" s="355" t="s">
        <v>820</v>
      </c>
      <c r="B44" s="343"/>
      <c r="C44" s="343"/>
      <c r="D44" s="343"/>
      <c r="E44" s="343"/>
      <c r="F44" s="343"/>
      <c r="G44" s="343"/>
      <c r="H44" s="343"/>
      <c r="I44" s="343"/>
      <c r="J44" s="343"/>
      <c r="K44" s="343"/>
      <c r="L44" s="343"/>
      <c r="M44" s="343"/>
      <c r="N44" s="343"/>
      <c r="O44" s="343"/>
      <c r="P44" s="343"/>
      <c r="Q44" s="343"/>
    </row>
    <row r="45" ht="15.75" customHeight="1">
      <c r="A45" s="343"/>
      <c r="B45" s="343"/>
      <c r="C45" s="343"/>
      <c r="D45" s="343"/>
      <c r="E45" s="343"/>
      <c r="F45" s="343"/>
      <c r="G45" s="343"/>
      <c r="H45" s="343"/>
      <c r="I45" s="343"/>
      <c r="J45" s="343"/>
      <c r="K45" s="343"/>
      <c r="L45" s="343"/>
      <c r="M45" s="343"/>
      <c r="N45" s="343"/>
      <c r="O45" s="343"/>
      <c r="P45" s="343"/>
      <c r="Q45" s="343"/>
    </row>
    <row r="46" ht="15.75" customHeight="1">
      <c r="A46" s="343"/>
      <c r="B46" s="343"/>
      <c r="C46" s="343"/>
      <c r="D46" s="343"/>
      <c r="E46" s="343"/>
      <c r="F46" s="343"/>
      <c r="G46" s="343"/>
      <c r="H46" s="343"/>
      <c r="I46" s="343"/>
      <c r="J46" s="343"/>
      <c r="K46" s="343"/>
      <c r="L46" s="343"/>
      <c r="M46" s="343"/>
      <c r="N46" s="343"/>
      <c r="O46" s="343"/>
      <c r="P46" s="343"/>
      <c r="Q46" s="343"/>
    </row>
    <row r="47" ht="15.75" customHeight="1">
      <c r="A47" s="343"/>
      <c r="B47" s="343"/>
      <c r="C47" s="343"/>
      <c r="D47" s="343"/>
      <c r="E47" s="343"/>
      <c r="F47" s="343"/>
      <c r="G47" s="343"/>
      <c r="H47" s="343"/>
      <c r="I47" s="343"/>
      <c r="J47" s="343"/>
      <c r="K47" s="343"/>
      <c r="L47" s="343"/>
      <c r="M47" s="343"/>
      <c r="N47" s="343"/>
      <c r="O47" s="343"/>
      <c r="P47" s="343"/>
      <c r="Q47" s="343"/>
    </row>
    <row r="48" ht="15.75" customHeight="1">
      <c r="A48" s="343"/>
      <c r="B48" s="343"/>
      <c r="C48" s="343"/>
      <c r="D48" s="343"/>
      <c r="E48" s="343"/>
      <c r="F48" s="343"/>
      <c r="G48" s="343"/>
      <c r="H48" s="343"/>
      <c r="I48" s="343"/>
      <c r="J48" s="343"/>
      <c r="K48" s="343"/>
      <c r="L48" s="343"/>
      <c r="M48" s="343"/>
      <c r="N48" s="343"/>
      <c r="O48" s="343"/>
      <c r="P48" s="343"/>
      <c r="Q48" s="343"/>
    </row>
    <row r="49" ht="15.75" customHeight="1">
      <c r="A49" s="343"/>
      <c r="B49" s="343"/>
      <c r="C49" s="343"/>
      <c r="D49" s="343"/>
      <c r="E49" s="343"/>
      <c r="F49" s="343"/>
      <c r="G49" s="343"/>
      <c r="H49" s="343"/>
      <c r="I49" s="343"/>
      <c r="J49" s="343"/>
      <c r="K49" s="343"/>
      <c r="L49" s="343"/>
      <c r="M49" s="343"/>
      <c r="N49" s="343"/>
      <c r="O49" s="343"/>
      <c r="P49" s="343"/>
      <c r="Q49" s="343"/>
    </row>
    <row r="50" ht="15.75" customHeight="1">
      <c r="A50" s="343"/>
      <c r="B50" s="343"/>
      <c r="C50" s="343"/>
      <c r="D50" s="343"/>
      <c r="E50" s="343"/>
      <c r="F50" s="343"/>
      <c r="G50" s="343"/>
      <c r="H50" s="343"/>
      <c r="I50" s="343"/>
      <c r="J50" s="343"/>
      <c r="K50" s="343"/>
      <c r="L50" s="343"/>
      <c r="M50" s="343"/>
      <c r="N50" s="343"/>
      <c r="O50" s="343"/>
      <c r="P50" s="343"/>
      <c r="Q50" s="343"/>
    </row>
    <row r="51" ht="15.75" customHeight="1">
      <c r="A51" s="343"/>
      <c r="B51" s="343"/>
      <c r="C51" s="343"/>
      <c r="D51" s="343"/>
      <c r="E51" s="343"/>
      <c r="F51" s="343"/>
      <c r="G51" s="343"/>
      <c r="H51" s="343"/>
      <c r="I51" s="343"/>
      <c r="J51" s="343"/>
      <c r="K51" s="343"/>
      <c r="L51" s="343"/>
      <c r="M51" s="343"/>
      <c r="N51" s="343"/>
      <c r="O51" s="343"/>
      <c r="P51" s="343"/>
      <c r="Q51" s="343"/>
    </row>
    <row r="52" ht="15.75" customHeight="1">
      <c r="A52" s="343"/>
      <c r="B52" s="343"/>
      <c r="C52" s="343"/>
      <c r="D52" s="343"/>
      <c r="E52" s="343"/>
      <c r="F52" s="343"/>
      <c r="G52" s="343"/>
      <c r="H52" s="343"/>
      <c r="I52" s="343"/>
      <c r="J52" s="343"/>
      <c r="K52" s="343"/>
      <c r="L52" s="343"/>
      <c r="M52" s="343"/>
      <c r="N52" s="343"/>
      <c r="O52" s="343"/>
      <c r="P52" s="343"/>
      <c r="Q52" s="343"/>
    </row>
    <row r="53" ht="15.75" customHeight="1">
      <c r="A53" s="343"/>
      <c r="B53" s="343"/>
      <c r="C53" s="343"/>
      <c r="D53" s="343"/>
      <c r="E53" s="343"/>
      <c r="F53" s="343"/>
      <c r="G53" s="343"/>
      <c r="H53" s="343"/>
      <c r="I53" s="343"/>
      <c r="J53" s="343"/>
      <c r="K53" s="343"/>
      <c r="L53" s="343"/>
      <c r="M53" s="343"/>
      <c r="N53" s="343"/>
      <c r="O53" s="343"/>
      <c r="P53" s="343"/>
      <c r="Q53" s="343"/>
    </row>
    <row r="54" ht="15.75" customHeight="1">
      <c r="A54" s="343"/>
      <c r="B54" s="343"/>
      <c r="C54" s="343"/>
      <c r="D54" s="343"/>
      <c r="E54" s="343"/>
      <c r="F54" s="343"/>
      <c r="G54" s="343"/>
      <c r="H54" s="343"/>
      <c r="I54" s="343"/>
      <c r="J54" s="343"/>
      <c r="K54" s="343"/>
      <c r="L54" s="343"/>
      <c r="M54" s="343"/>
      <c r="N54" s="343"/>
      <c r="O54" s="343"/>
      <c r="P54" s="343"/>
      <c r="Q54" s="343"/>
    </row>
    <row r="55" ht="15.75" customHeight="1">
      <c r="A55" s="343"/>
      <c r="B55" s="343"/>
      <c r="C55" s="343"/>
      <c r="D55" s="343"/>
      <c r="E55" s="343"/>
      <c r="F55" s="343"/>
      <c r="G55" s="343"/>
      <c r="H55" s="343"/>
      <c r="I55" s="343"/>
      <c r="J55" s="343"/>
      <c r="K55" s="343"/>
      <c r="L55" s="343"/>
      <c r="M55" s="343"/>
      <c r="N55" s="343"/>
      <c r="O55" s="343"/>
      <c r="P55" s="343"/>
      <c r="Q55" s="343"/>
    </row>
    <row r="56" ht="15.75" customHeight="1">
      <c r="A56" s="343"/>
      <c r="B56" s="343"/>
      <c r="C56" s="343"/>
      <c r="D56" s="343"/>
      <c r="E56" s="343"/>
      <c r="F56" s="343"/>
      <c r="G56" s="343"/>
      <c r="H56" s="343"/>
      <c r="I56" s="343"/>
      <c r="J56" s="343"/>
      <c r="K56" s="343"/>
      <c r="L56" s="343"/>
      <c r="M56" s="343"/>
      <c r="N56" s="343"/>
      <c r="O56" s="343"/>
      <c r="P56" s="343"/>
      <c r="Q56" s="343"/>
    </row>
    <row r="57" ht="15.75" customHeight="1">
      <c r="A57" s="343"/>
      <c r="B57" s="343"/>
      <c r="C57" s="343"/>
      <c r="D57" s="343"/>
      <c r="E57" s="343"/>
      <c r="F57" s="343"/>
      <c r="G57" s="343"/>
      <c r="H57" s="343"/>
      <c r="I57" s="343"/>
      <c r="J57" s="343"/>
      <c r="K57" s="343"/>
      <c r="L57" s="343"/>
      <c r="M57" s="343"/>
      <c r="N57" s="343"/>
      <c r="O57" s="343"/>
      <c r="P57" s="343"/>
      <c r="Q57" s="343"/>
    </row>
    <row r="58" ht="15.75" customHeight="1">
      <c r="A58" s="343"/>
      <c r="B58" s="343"/>
      <c r="C58" s="343"/>
      <c r="D58" s="343"/>
      <c r="E58" s="343"/>
      <c r="F58" s="343"/>
      <c r="G58" s="343"/>
      <c r="H58" s="343"/>
      <c r="I58" s="343"/>
      <c r="J58" s="343"/>
      <c r="K58" s="343"/>
      <c r="L58" s="343"/>
      <c r="M58" s="343"/>
      <c r="N58" s="343"/>
      <c r="O58" s="343"/>
      <c r="P58" s="343"/>
      <c r="Q58" s="343"/>
    </row>
    <row r="59" ht="15.75" customHeight="1">
      <c r="A59" s="343"/>
      <c r="B59" s="343"/>
      <c r="C59" s="343"/>
      <c r="D59" s="343"/>
      <c r="E59" s="343"/>
      <c r="F59" s="343"/>
      <c r="G59" s="343"/>
      <c r="H59" s="343"/>
      <c r="I59" s="343"/>
      <c r="J59" s="343"/>
      <c r="K59" s="343"/>
      <c r="L59" s="343"/>
      <c r="M59" s="343"/>
      <c r="N59" s="343"/>
      <c r="O59" s="343"/>
      <c r="P59" s="343"/>
      <c r="Q59" s="343"/>
    </row>
    <row r="60" ht="15.75" customHeight="1">
      <c r="A60" s="343"/>
      <c r="B60" s="343"/>
      <c r="C60" s="343"/>
      <c r="D60" s="343"/>
      <c r="E60" s="343"/>
      <c r="F60" s="343"/>
      <c r="G60" s="343"/>
      <c r="H60" s="343"/>
      <c r="I60" s="343"/>
      <c r="J60" s="343"/>
      <c r="K60" s="343"/>
      <c r="L60" s="343"/>
      <c r="M60" s="343"/>
      <c r="N60" s="343"/>
      <c r="O60" s="343"/>
      <c r="P60" s="343"/>
      <c r="Q60" s="343"/>
    </row>
    <row r="61" ht="15.75" customHeight="1">
      <c r="A61" s="343"/>
      <c r="B61" s="343"/>
      <c r="C61" s="343"/>
      <c r="D61" s="343"/>
      <c r="E61" s="343"/>
      <c r="F61" s="343"/>
      <c r="G61" s="343"/>
      <c r="H61" s="343"/>
      <c r="I61" s="343"/>
      <c r="J61" s="343"/>
      <c r="K61" s="343"/>
      <c r="L61" s="343"/>
      <c r="M61" s="343"/>
      <c r="N61" s="343"/>
      <c r="O61" s="343"/>
      <c r="P61" s="343"/>
      <c r="Q61" s="343"/>
    </row>
    <row r="62" ht="15.75" customHeight="1">
      <c r="A62" s="343"/>
      <c r="B62" s="343"/>
      <c r="C62" s="343"/>
      <c r="D62" s="343"/>
      <c r="E62" s="343"/>
      <c r="F62" s="343"/>
      <c r="G62" s="343"/>
      <c r="H62" s="343"/>
      <c r="I62" s="343"/>
      <c r="J62" s="343"/>
      <c r="K62" s="343"/>
      <c r="L62" s="343"/>
      <c r="M62" s="343"/>
      <c r="N62" s="343"/>
      <c r="O62" s="343"/>
      <c r="P62" s="343"/>
      <c r="Q62" s="343"/>
    </row>
    <row r="63" ht="15.75" customHeight="1">
      <c r="A63" s="343"/>
      <c r="B63" s="343"/>
      <c r="C63" s="343"/>
      <c r="D63" s="343"/>
      <c r="E63" s="343"/>
      <c r="F63" s="343"/>
      <c r="G63" s="343"/>
      <c r="H63" s="343"/>
      <c r="I63" s="343"/>
      <c r="J63" s="343"/>
      <c r="K63" s="343"/>
      <c r="L63" s="343"/>
      <c r="M63" s="343"/>
      <c r="N63" s="343"/>
      <c r="O63" s="343"/>
      <c r="P63" s="343"/>
      <c r="Q63" s="343"/>
    </row>
    <row r="64" ht="15.75" customHeight="1">
      <c r="A64" s="343"/>
      <c r="B64" s="343"/>
      <c r="C64" s="343"/>
      <c r="D64" s="343"/>
      <c r="E64" s="343"/>
      <c r="F64" s="343"/>
      <c r="G64" s="343"/>
      <c r="H64" s="343"/>
      <c r="I64" s="343"/>
      <c r="J64" s="343"/>
      <c r="K64" s="343"/>
      <c r="L64" s="343"/>
      <c r="M64" s="343"/>
      <c r="N64" s="343"/>
      <c r="O64" s="343"/>
      <c r="P64" s="343"/>
      <c r="Q64" s="343"/>
    </row>
    <row r="65" ht="15.75" customHeight="1">
      <c r="A65" s="343"/>
      <c r="B65" s="343"/>
      <c r="C65" s="343"/>
      <c r="D65" s="343"/>
      <c r="E65" s="343"/>
      <c r="F65" s="343"/>
      <c r="G65" s="343"/>
      <c r="H65" s="343"/>
      <c r="I65" s="343"/>
      <c r="J65" s="343"/>
      <c r="K65" s="343"/>
      <c r="L65" s="343"/>
      <c r="M65" s="343"/>
      <c r="N65" s="343"/>
      <c r="O65" s="343"/>
      <c r="P65" s="343"/>
      <c r="Q65" s="343"/>
    </row>
    <row r="66" ht="15.75" customHeight="1">
      <c r="A66" s="343"/>
      <c r="B66" s="343"/>
      <c r="C66" s="343"/>
      <c r="D66" s="343"/>
      <c r="E66" s="343"/>
      <c r="F66" s="343"/>
      <c r="G66" s="343"/>
      <c r="H66" s="343"/>
      <c r="I66" s="343"/>
      <c r="J66" s="343"/>
      <c r="K66" s="343"/>
      <c r="L66" s="343"/>
      <c r="M66" s="343"/>
      <c r="N66" s="343"/>
      <c r="O66" s="343"/>
      <c r="P66" s="343"/>
      <c r="Q66" s="343"/>
    </row>
    <row r="67" ht="15.75" customHeight="1">
      <c r="A67" s="343"/>
      <c r="B67" s="343"/>
      <c r="C67" s="343"/>
      <c r="D67" s="343"/>
      <c r="E67" s="343"/>
      <c r="F67" s="343"/>
      <c r="G67" s="343"/>
      <c r="H67" s="343"/>
      <c r="I67" s="343"/>
      <c r="J67" s="343"/>
      <c r="K67" s="343"/>
      <c r="L67" s="343"/>
      <c r="M67" s="343"/>
      <c r="N67" s="343"/>
      <c r="O67" s="343"/>
      <c r="P67" s="343"/>
      <c r="Q67" s="343"/>
    </row>
    <row r="68" ht="15.75" customHeight="1">
      <c r="A68" s="343"/>
      <c r="B68" s="343"/>
      <c r="C68" s="343"/>
      <c r="D68" s="343"/>
      <c r="E68" s="343"/>
      <c r="F68" s="343"/>
      <c r="G68" s="343"/>
      <c r="H68" s="343"/>
      <c r="I68" s="343"/>
      <c r="J68" s="343"/>
      <c r="K68" s="343"/>
      <c r="L68" s="343"/>
      <c r="M68" s="343"/>
      <c r="N68" s="343"/>
      <c r="O68" s="343"/>
      <c r="P68" s="343"/>
      <c r="Q68" s="343"/>
    </row>
    <row r="69" ht="15.75" customHeight="1">
      <c r="A69" s="343"/>
      <c r="B69" s="343"/>
      <c r="C69" s="343"/>
      <c r="D69" s="343"/>
      <c r="E69" s="343"/>
      <c r="F69" s="343"/>
      <c r="G69" s="343"/>
      <c r="H69" s="343"/>
      <c r="I69" s="343"/>
      <c r="J69" s="343"/>
      <c r="K69" s="343"/>
      <c r="L69" s="343"/>
      <c r="M69" s="343"/>
      <c r="N69" s="343"/>
      <c r="O69" s="343"/>
      <c r="P69" s="343"/>
      <c r="Q69" s="343"/>
    </row>
    <row r="70" ht="15.75" customHeight="1">
      <c r="A70" s="343"/>
      <c r="B70" s="343"/>
      <c r="C70" s="343"/>
      <c r="D70" s="343"/>
      <c r="E70" s="343"/>
      <c r="F70" s="343"/>
      <c r="G70" s="343"/>
      <c r="H70" s="343"/>
      <c r="I70" s="343"/>
      <c r="J70" s="343"/>
      <c r="K70" s="343"/>
      <c r="L70" s="343"/>
      <c r="M70" s="343"/>
      <c r="N70" s="343"/>
      <c r="O70" s="343"/>
      <c r="P70" s="343"/>
      <c r="Q70" s="343"/>
    </row>
    <row r="71" ht="15.75" customHeight="1">
      <c r="A71" s="343"/>
      <c r="B71" s="343"/>
      <c r="C71" s="343"/>
      <c r="D71" s="343"/>
      <c r="E71" s="343"/>
      <c r="F71" s="343"/>
      <c r="G71" s="343"/>
      <c r="H71" s="343"/>
      <c r="I71" s="343"/>
      <c r="J71" s="343"/>
      <c r="K71" s="343"/>
      <c r="L71" s="343"/>
      <c r="M71" s="343"/>
      <c r="N71" s="343"/>
      <c r="O71" s="343"/>
      <c r="P71" s="343"/>
      <c r="Q71" s="343"/>
    </row>
    <row r="72" ht="15.75" customHeight="1">
      <c r="A72" s="343"/>
      <c r="B72" s="343"/>
      <c r="C72" s="343"/>
      <c r="D72" s="343"/>
      <c r="E72" s="343"/>
      <c r="F72" s="343"/>
      <c r="G72" s="343"/>
      <c r="H72" s="343"/>
      <c r="I72" s="343"/>
      <c r="J72" s="343"/>
      <c r="K72" s="343"/>
      <c r="L72" s="343"/>
      <c r="M72" s="343"/>
      <c r="N72" s="343"/>
      <c r="O72" s="343"/>
      <c r="P72" s="343"/>
      <c r="Q72" s="343"/>
    </row>
    <row r="73" ht="15.75" customHeight="1">
      <c r="A73" s="343"/>
      <c r="B73" s="343"/>
      <c r="C73" s="343"/>
      <c r="D73" s="343"/>
      <c r="E73" s="343"/>
      <c r="F73" s="343"/>
      <c r="G73" s="343"/>
      <c r="H73" s="343"/>
      <c r="I73" s="343"/>
      <c r="J73" s="343"/>
      <c r="K73" s="343"/>
      <c r="L73" s="343"/>
      <c r="M73" s="343"/>
      <c r="N73" s="343"/>
      <c r="O73" s="343"/>
      <c r="P73" s="343"/>
      <c r="Q73" s="343"/>
    </row>
    <row r="74" ht="15.75" customHeight="1">
      <c r="A74" s="343"/>
      <c r="B74" s="343"/>
      <c r="C74" s="343"/>
      <c r="D74" s="343"/>
      <c r="E74" s="343"/>
      <c r="F74" s="343"/>
      <c r="G74" s="343"/>
      <c r="H74" s="343"/>
      <c r="I74" s="343"/>
      <c r="J74" s="343"/>
      <c r="K74" s="343"/>
      <c r="L74" s="343"/>
      <c r="M74" s="343"/>
      <c r="N74" s="343"/>
      <c r="O74" s="343"/>
      <c r="P74" s="343"/>
      <c r="Q74" s="343"/>
    </row>
    <row r="75" ht="15.75" customHeight="1">
      <c r="A75" s="343"/>
      <c r="B75" s="343"/>
      <c r="C75" s="343"/>
      <c r="D75" s="343"/>
      <c r="E75" s="343"/>
      <c r="F75" s="343"/>
      <c r="G75" s="343"/>
      <c r="H75" s="343"/>
      <c r="I75" s="343"/>
      <c r="J75" s="343"/>
      <c r="K75" s="343"/>
      <c r="L75" s="343"/>
      <c r="M75" s="343"/>
      <c r="N75" s="343"/>
      <c r="O75" s="343"/>
      <c r="P75" s="343"/>
      <c r="Q75" s="343"/>
    </row>
    <row r="76" ht="15.75" customHeight="1">
      <c r="A76" s="343"/>
      <c r="B76" s="343"/>
      <c r="C76" s="343"/>
      <c r="D76" s="343"/>
      <c r="E76" s="343"/>
      <c r="F76" s="343"/>
      <c r="G76" s="343"/>
      <c r="H76" s="343"/>
      <c r="I76" s="343"/>
      <c r="J76" s="343"/>
      <c r="K76" s="343"/>
      <c r="L76" s="343"/>
      <c r="M76" s="343"/>
      <c r="N76" s="343"/>
      <c r="O76" s="343"/>
      <c r="P76" s="343"/>
      <c r="Q76" s="343"/>
    </row>
    <row r="77" ht="15.75" customHeight="1">
      <c r="A77" s="343"/>
      <c r="B77" s="343"/>
      <c r="C77" s="343"/>
      <c r="D77" s="343"/>
      <c r="E77" s="343"/>
      <c r="F77" s="343"/>
      <c r="G77" s="343"/>
      <c r="H77" s="343"/>
      <c r="I77" s="343"/>
      <c r="J77" s="343"/>
      <c r="K77" s="343"/>
      <c r="L77" s="343"/>
      <c r="M77" s="343"/>
      <c r="N77" s="343"/>
      <c r="O77" s="343"/>
      <c r="P77" s="343"/>
      <c r="Q77" s="343"/>
    </row>
    <row r="78" ht="15.75" customHeight="1">
      <c r="A78" s="343"/>
      <c r="B78" s="343"/>
      <c r="C78" s="343"/>
      <c r="D78" s="343"/>
      <c r="E78" s="343"/>
      <c r="F78" s="343"/>
      <c r="G78" s="343"/>
      <c r="H78" s="343"/>
      <c r="I78" s="343"/>
      <c r="J78" s="343"/>
      <c r="K78" s="343"/>
      <c r="L78" s="343"/>
      <c r="M78" s="343"/>
      <c r="N78" s="343"/>
      <c r="O78" s="343"/>
      <c r="P78" s="343"/>
      <c r="Q78" s="343"/>
    </row>
    <row r="79" ht="15.75" customHeight="1">
      <c r="A79" s="343"/>
      <c r="B79" s="343"/>
      <c r="C79" s="343"/>
      <c r="D79" s="343"/>
      <c r="E79" s="343"/>
      <c r="F79" s="343"/>
      <c r="G79" s="343"/>
      <c r="H79" s="343"/>
      <c r="I79" s="343"/>
      <c r="J79" s="343"/>
      <c r="K79" s="343"/>
      <c r="L79" s="343"/>
      <c r="M79" s="343"/>
      <c r="N79" s="343"/>
      <c r="O79" s="343"/>
      <c r="P79" s="343"/>
      <c r="Q79" s="343"/>
    </row>
    <row r="80" ht="15.75" customHeight="1">
      <c r="A80" s="343"/>
      <c r="B80" s="343"/>
      <c r="C80" s="343"/>
      <c r="D80" s="343"/>
      <c r="E80" s="343"/>
      <c r="F80" s="343"/>
      <c r="G80" s="343"/>
      <c r="H80" s="343"/>
      <c r="I80" s="343"/>
      <c r="J80" s="343"/>
      <c r="K80" s="343"/>
      <c r="L80" s="343"/>
      <c r="M80" s="343"/>
      <c r="N80" s="343"/>
      <c r="O80" s="343"/>
      <c r="P80" s="343"/>
      <c r="Q80" s="343"/>
    </row>
    <row r="81" ht="15.75" customHeight="1">
      <c r="A81" s="343"/>
      <c r="B81" s="343"/>
      <c r="C81" s="343"/>
      <c r="D81" s="343"/>
      <c r="E81" s="343"/>
      <c r="F81" s="343"/>
      <c r="G81" s="343"/>
      <c r="H81" s="343"/>
      <c r="I81" s="343"/>
      <c r="J81" s="343"/>
      <c r="K81" s="343"/>
      <c r="L81" s="343"/>
      <c r="M81" s="343"/>
      <c r="N81" s="343"/>
      <c r="O81" s="343"/>
      <c r="P81" s="343"/>
      <c r="Q81" s="343"/>
    </row>
    <row r="82" ht="15.75" customHeight="1">
      <c r="A82" s="343"/>
      <c r="B82" s="343"/>
      <c r="C82" s="343"/>
      <c r="D82" s="343"/>
      <c r="E82" s="343"/>
      <c r="F82" s="343"/>
      <c r="G82" s="343"/>
      <c r="H82" s="343"/>
      <c r="I82" s="343"/>
      <c r="J82" s="343"/>
      <c r="K82" s="343"/>
      <c r="L82" s="343"/>
      <c r="M82" s="343"/>
      <c r="N82" s="343"/>
      <c r="O82" s="343"/>
      <c r="P82" s="343"/>
      <c r="Q82" s="343"/>
    </row>
    <row r="83" ht="15.75" customHeight="1">
      <c r="A83" s="343"/>
      <c r="B83" s="343"/>
      <c r="C83" s="343"/>
      <c r="D83" s="343"/>
      <c r="E83" s="343"/>
      <c r="F83" s="343"/>
      <c r="G83" s="343"/>
      <c r="H83" s="343"/>
      <c r="I83" s="343"/>
      <c r="J83" s="343"/>
      <c r="K83" s="343"/>
      <c r="L83" s="343"/>
      <c r="M83" s="343"/>
      <c r="N83" s="343"/>
      <c r="O83" s="343"/>
      <c r="P83" s="343"/>
      <c r="Q83" s="343"/>
    </row>
    <row r="84" ht="15.75" customHeight="1">
      <c r="A84" s="343"/>
      <c r="B84" s="343"/>
      <c r="C84" s="343"/>
      <c r="D84" s="343"/>
      <c r="E84" s="343"/>
      <c r="F84" s="343"/>
      <c r="G84" s="343"/>
      <c r="H84" s="343"/>
      <c r="I84" s="343"/>
      <c r="J84" s="343"/>
      <c r="K84" s="343"/>
      <c r="L84" s="343"/>
      <c r="M84" s="343"/>
      <c r="N84" s="343"/>
      <c r="O84" s="343"/>
      <c r="P84" s="343"/>
      <c r="Q84" s="343"/>
    </row>
    <row r="85" ht="15.75" customHeight="1">
      <c r="A85" s="343"/>
      <c r="B85" s="343"/>
      <c r="C85" s="343"/>
      <c r="D85" s="343"/>
      <c r="E85" s="343"/>
      <c r="F85" s="343"/>
      <c r="G85" s="343"/>
      <c r="H85" s="343"/>
      <c r="I85" s="343"/>
      <c r="J85" s="343"/>
      <c r="K85" s="343"/>
      <c r="L85" s="343"/>
      <c r="M85" s="343"/>
      <c r="N85" s="343"/>
      <c r="O85" s="343"/>
      <c r="P85" s="343"/>
      <c r="Q85" s="343"/>
    </row>
    <row r="86" ht="15.75" customHeight="1">
      <c r="A86" s="343"/>
      <c r="B86" s="343"/>
      <c r="C86" s="343"/>
      <c r="D86" s="343"/>
      <c r="E86" s="343"/>
      <c r="F86" s="343"/>
      <c r="G86" s="343"/>
      <c r="H86" s="343"/>
      <c r="I86" s="343"/>
      <c r="J86" s="343"/>
      <c r="K86" s="343"/>
      <c r="L86" s="343"/>
      <c r="M86" s="343"/>
      <c r="N86" s="343"/>
      <c r="O86" s="343"/>
      <c r="P86" s="343"/>
      <c r="Q86" s="343"/>
    </row>
    <row r="87" ht="15.75" customHeight="1">
      <c r="A87" s="343"/>
      <c r="B87" s="343"/>
      <c r="C87" s="343"/>
      <c r="D87" s="343"/>
      <c r="E87" s="343"/>
      <c r="F87" s="343"/>
      <c r="G87" s="343"/>
      <c r="H87" s="343"/>
      <c r="I87" s="343"/>
      <c r="J87" s="343"/>
      <c r="K87" s="343"/>
      <c r="L87" s="343"/>
      <c r="M87" s="343"/>
      <c r="N87" s="343"/>
      <c r="O87" s="343"/>
      <c r="P87" s="343"/>
      <c r="Q87" s="343"/>
    </row>
    <row r="88" ht="15.75" customHeight="1">
      <c r="A88" s="343"/>
      <c r="B88" s="343"/>
      <c r="C88" s="343"/>
      <c r="D88" s="343"/>
      <c r="E88" s="343"/>
      <c r="F88" s="343"/>
      <c r="G88" s="343"/>
      <c r="H88" s="343"/>
      <c r="I88" s="343"/>
      <c r="J88" s="343"/>
      <c r="K88" s="343"/>
      <c r="L88" s="343"/>
      <c r="M88" s="343"/>
      <c r="N88" s="343"/>
      <c r="O88" s="343"/>
      <c r="P88" s="343"/>
      <c r="Q88" s="343"/>
    </row>
    <row r="89" ht="15.75" customHeight="1">
      <c r="A89" s="343"/>
      <c r="B89" s="343"/>
      <c r="C89" s="343"/>
      <c r="D89" s="343"/>
      <c r="E89" s="343"/>
      <c r="F89" s="343"/>
      <c r="G89" s="343"/>
      <c r="H89" s="343"/>
      <c r="I89" s="343"/>
      <c r="J89" s="343"/>
      <c r="K89" s="343"/>
      <c r="L89" s="343"/>
      <c r="M89" s="343"/>
      <c r="N89" s="343"/>
      <c r="O89" s="343"/>
      <c r="P89" s="343"/>
      <c r="Q89" s="343"/>
    </row>
    <row r="90" ht="15.75" customHeight="1">
      <c r="A90" s="343"/>
      <c r="B90" s="343"/>
      <c r="C90" s="343"/>
      <c r="D90" s="343"/>
      <c r="E90" s="343"/>
      <c r="F90" s="343"/>
      <c r="G90" s="343"/>
      <c r="H90" s="343"/>
      <c r="I90" s="343"/>
      <c r="J90" s="343"/>
      <c r="K90" s="343"/>
      <c r="L90" s="343"/>
      <c r="M90" s="343"/>
      <c r="N90" s="343"/>
      <c r="O90" s="343"/>
      <c r="P90" s="343"/>
      <c r="Q90" s="343"/>
    </row>
    <row r="91" ht="15.75" customHeight="1">
      <c r="A91" s="343"/>
      <c r="B91" s="343"/>
      <c r="C91" s="343"/>
      <c r="D91" s="343"/>
      <c r="E91" s="343"/>
      <c r="F91" s="343"/>
      <c r="G91" s="343"/>
      <c r="H91" s="343"/>
      <c r="I91" s="343"/>
      <c r="J91" s="343"/>
      <c r="K91" s="343"/>
      <c r="L91" s="343"/>
      <c r="M91" s="343"/>
      <c r="N91" s="343"/>
      <c r="O91" s="343"/>
      <c r="P91" s="343"/>
      <c r="Q91" s="343"/>
    </row>
    <row r="92" ht="15.75" customHeight="1">
      <c r="A92" s="343"/>
      <c r="B92" s="343"/>
      <c r="C92" s="343"/>
      <c r="D92" s="343"/>
      <c r="E92" s="343"/>
      <c r="F92" s="343"/>
      <c r="G92" s="343"/>
      <c r="H92" s="343"/>
      <c r="I92" s="343"/>
      <c r="J92" s="343"/>
      <c r="K92" s="343"/>
      <c r="L92" s="343"/>
      <c r="M92" s="343"/>
      <c r="N92" s="343"/>
      <c r="O92" s="343"/>
      <c r="P92" s="343"/>
      <c r="Q92" s="343"/>
    </row>
    <row r="93" ht="15.75" customHeight="1">
      <c r="A93" s="343"/>
      <c r="B93" s="343"/>
      <c r="C93" s="343"/>
      <c r="D93" s="343"/>
      <c r="E93" s="343"/>
      <c r="F93" s="343"/>
      <c r="G93" s="343"/>
      <c r="H93" s="343"/>
      <c r="I93" s="343"/>
      <c r="J93" s="343"/>
      <c r="K93" s="343"/>
      <c r="L93" s="343"/>
      <c r="M93" s="343"/>
      <c r="N93" s="343"/>
      <c r="O93" s="343"/>
      <c r="P93" s="343"/>
      <c r="Q93" s="343"/>
    </row>
    <row r="94" ht="15.75" customHeight="1">
      <c r="A94" s="343"/>
      <c r="B94" s="343"/>
      <c r="C94" s="343"/>
      <c r="D94" s="343"/>
      <c r="E94" s="343"/>
      <c r="F94" s="343"/>
      <c r="G94" s="343"/>
      <c r="H94" s="343"/>
      <c r="I94" s="343"/>
      <c r="J94" s="343"/>
      <c r="K94" s="343"/>
      <c r="L94" s="343"/>
      <c r="M94" s="343"/>
      <c r="N94" s="343"/>
      <c r="O94" s="343"/>
      <c r="P94" s="343"/>
      <c r="Q94" s="343"/>
    </row>
    <row r="95" ht="15.75" customHeight="1">
      <c r="A95" s="343"/>
      <c r="B95" s="343"/>
      <c r="C95" s="343"/>
      <c r="D95" s="343"/>
      <c r="E95" s="343"/>
      <c r="F95" s="343"/>
      <c r="G95" s="343"/>
      <c r="H95" s="343"/>
      <c r="I95" s="343"/>
      <c r="J95" s="343"/>
      <c r="K95" s="343"/>
      <c r="L95" s="343"/>
      <c r="M95" s="343"/>
      <c r="N95" s="343"/>
      <c r="O95" s="343"/>
      <c r="P95" s="343"/>
      <c r="Q95" s="343"/>
    </row>
    <row r="96" ht="15.75" customHeight="1">
      <c r="A96" s="343"/>
      <c r="B96" s="343"/>
      <c r="C96" s="343"/>
      <c r="D96" s="343"/>
      <c r="E96" s="343"/>
      <c r="F96" s="343"/>
      <c r="G96" s="343"/>
      <c r="H96" s="343"/>
      <c r="I96" s="343"/>
      <c r="J96" s="343"/>
      <c r="K96" s="343"/>
      <c r="L96" s="343"/>
      <c r="M96" s="343"/>
      <c r="N96" s="343"/>
      <c r="O96" s="343"/>
      <c r="P96" s="343"/>
      <c r="Q96" s="343"/>
    </row>
    <row r="97" ht="15.75" customHeight="1">
      <c r="A97" s="343"/>
      <c r="B97" s="343"/>
      <c r="C97" s="343"/>
      <c r="D97" s="343"/>
      <c r="E97" s="343"/>
      <c r="F97" s="343"/>
      <c r="G97" s="343"/>
      <c r="H97" s="343"/>
      <c r="I97" s="343"/>
      <c r="J97" s="343"/>
      <c r="K97" s="343"/>
      <c r="L97" s="343"/>
      <c r="M97" s="343"/>
      <c r="N97" s="343"/>
      <c r="O97" s="343"/>
      <c r="P97" s="343"/>
      <c r="Q97" s="343"/>
    </row>
    <row r="98" ht="15.75" customHeight="1">
      <c r="A98" s="343"/>
      <c r="B98" s="343"/>
      <c r="C98" s="343"/>
      <c r="D98" s="343"/>
      <c r="E98" s="343"/>
      <c r="F98" s="343"/>
      <c r="G98" s="343"/>
      <c r="H98" s="343"/>
      <c r="I98" s="343"/>
      <c r="J98" s="343"/>
      <c r="K98" s="343"/>
      <c r="L98" s="343"/>
      <c r="M98" s="343"/>
      <c r="N98" s="343"/>
      <c r="O98" s="343"/>
      <c r="P98" s="343"/>
      <c r="Q98" s="343"/>
    </row>
    <row r="99" ht="15.75" customHeight="1">
      <c r="A99" s="343"/>
      <c r="B99" s="343"/>
      <c r="C99" s="343"/>
      <c r="D99" s="343"/>
      <c r="E99" s="343"/>
      <c r="F99" s="343"/>
      <c r="G99" s="343"/>
      <c r="H99" s="343"/>
      <c r="I99" s="343"/>
      <c r="J99" s="343"/>
      <c r="K99" s="343"/>
      <c r="L99" s="343"/>
      <c r="M99" s="343"/>
      <c r="N99" s="343"/>
      <c r="O99" s="343"/>
      <c r="P99" s="343"/>
      <c r="Q99" s="343"/>
    </row>
    <row r="100" ht="15.75" customHeight="1">
      <c r="A100" s="343"/>
      <c r="B100" s="343"/>
      <c r="C100" s="343"/>
      <c r="D100" s="343"/>
      <c r="E100" s="343"/>
      <c r="F100" s="343"/>
      <c r="G100" s="343"/>
      <c r="H100" s="343"/>
      <c r="I100" s="343"/>
      <c r="J100" s="343"/>
      <c r="K100" s="343"/>
      <c r="L100" s="343"/>
      <c r="M100" s="343"/>
      <c r="N100" s="343"/>
      <c r="O100" s="343"/>
      <c r="P100" s="343"/>
      <c r="Q100" s="343"/>
    </row>
    <row r="101" ht="15.75" customHeight="1">
      <c r="A101" s="343"/>
      <c r="B101" s="343"/>
      <c r="C101" s="343"/>
      <c r="D101" s="343"/>
      <c r="E101" s="343"/>
      <c r="F101" s="343"/>
      <c r="G101" s="343"/>
      <c r="H101" s="343"/>
      <c r="I101" s="343"/>
      <c r="J101" s="343"/>
      <c r="K101" s="343"/>
      <c r="L101" s="343"/>
      <c r="M101" s="343"/>
      <c r="N101" s="343"/>
      <c r="O101" s="343"/>
      <c r="P101" s="343"/>
      <c r="Q101" s="343"/>
    </row>
    <row r="102" ht="15.75" customHeight="1">
      <c r="A102" s="343"/>
      <c r="B102" s="343"/>
      <c r="C102" s="343"/>
      <c r="D102" s="343"/>
      <c r="E102" s="343"/>
      <c r="F102" s="343"/>
      <c r="G102" s="343"/>
      <c r="H102" s="343"/>
      <c r="I102" s="343"/>
      <c r="J102" s="343"/>
      <c r="K102" s="343"/>
      <c r="L102" s="343"/>
      <c r="M102" s="343"/>
      <c r="N102" s="343"/>
      <c r="O102" s="343"/>
      <c r="P102" s="343"/>
      <c r="Q102" s="343"/>
    </row>
    <row r="103" ht="15.75" customHeight="1">
      <c r="A103" s="343"/>
      <c r="B103" s="343"/>
      <c r="C103" s="343"/>
      <c r="D103" s="343"/>
      <c r="E103" s="343"/>
      <c r="F103" s="343"/>
      <c r="G103" s="343"/>
      <c r="H103" s="343"/>
      <c r="I103" s="343"/>
      <c r="J103" s="343"/>
      <c r="K103" s="343"/>
      <c r="L103" s="343"/>
      <c r="M103" s="343"/>
      <c r="N103" s="343"/>
      <c r="O103" s="343"/>
      <c r="P103" s="343"/>
      <c r="Q103" s="343"/>
    </row>
    <row r="104" ht="15.75" customHeight="1">
      <c r="A104" s="343"/>
      <c r="B104" s="343"/>
      <c r="C104" s="343"/>
      <c r="D104" s="343"/>
      <c r="E104" s="343"/>
      <c r="F104" s="343"/>
      <c r="G104" s="343"/>
      <c r="H104" s="343"/>
      <c r="I104" s="343"/>
      <c r="J104" s="343"/>
      <c r="K104" s="343"/>
      <c r="L104" s="343"/>
      <c r="M104" s="343"/>
      <c r="N104" s="343"/>
      <c r="O104" s="343"/>
      <c r="P104" s="343"/>
      <c r="Q104" s="343"/>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M8:Q8"/>
    <mergeCell ref="M9:Q9"/>
    <mergeCell ref="M10:Q10"/>
    <mergeCell ref="A2:J6"/>
    <mergeCell ref="M2:Q2"/>
    <mergeCell ref="M3:Q3"/>
    <mergeCell ref="M4:Q4"/>
    <mergeCell ref="M5:Q5"/>
    <mergeCell ref="M6:Q6"/>
    <mergeCell ref="M7:Q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4.71"/>
    <col customWidth="1" min="3" max="3" width="12.0"/>
    <col customWidth="1" min="4" max="4" width="11.14"/>
    <col customWidth="1" min="5" max="5" width="10.71"/>
    <col customWidth="1" min="6" max="6" width="10.0"/>
    <col customWidth="1" min="7" max="8" width="9.57"/>
    <col customWidth="1" min="9" max="9" width="10.43"/>
    <col customWidth="1" min="10" max="10" width="12.14"/>
    <col customWidth="1" hidden="1" min="11" max="11" width="12.14"/>
    <col customWidth="1" min="12" max="26" width="8.71"/>
  </cols>
  <sheetData>
    <row r="1" ht="36.75" customHeight="1"/>
    <row r="2" ht="39.0" customHeight="1">
      <c r="A2" s="349"/>
      <c r="B2" s="71" t="s">
        <v>531</v>
      </c>
      <c r="C2" s="67"/>
      <c r="D2" s="67"/>
      <c r="E2" s="67"/>
      <c r="F2" s="68"/>
      <c r="G2" s="71" t="s">
        <v>532</v>
      </c>
      <c r="H2" s="67"/>
      <c r="I2" s="68"/>
      <c r="J2" s="352" t="str">
        <f>CONCATENATE("Baseline systems correspond to ",IF(Path="","",Path))</f>
        <v>Baseline systems correspond to Appendix G PRM</v>
      </c>
      <c r="K2" s="353"/>
      <c r="L2" s="349"/>
      <c r="M2" s="349"/>
      <c r="N2" s="349"/>
      <c r="O2" s="349"/>
      <c r="P2" s="349"/>
      <c r="Q2" s="349"/>
      <c r="R2" s="349"/>
      <c r="S2" s="349"/>
      <c r="T2" s="349"/>
      <c r="U2" s="349"/>
      <c r="V2" s="349"/>
      <c r="W2" s="349"/>
      <c r="X2" s="349"/>
      <c r="Y2" s="349"/>
      <c r="Z2" s="349"/>
    </row>
    <row r="3" ht="32.25" customHeight="1">
      <c r="B3" s="228" t="str">
        <f>IF(Path="Appendix G PRM", "Building Area Type (Only used for Appendix G)", "This column not used for Section 11 projects")</f>
        <v>Building Area Type (Only used for Appendix G)</v>
      </c>
      <c r="C3" s="228" t="s">
        <v>533</v>
      </c>
      <c r="D3" s="228" t="s">
        <v>534</v>
      </c>
      <c r="E3" s="228" t="s">
        <v>535</v>
      </c>
      <c r="F3" s="228" t="s">
        <v>536</v>
      </c>
      <c r="G3" s="228" t="str">
        <f>IF(TRUE, "Condenser Cooling Source", "Section 11 Column")</f>
        <v>Condenser Cooling Source</v>
      </c>
      <c r="H3" s="228" t="s">
        <v>537</v>
      </c>
      <c r="I3" s="228" t="s">
        <v>538</v>
      </c>
      <c r="J3" s="198"/>
      <c r="K3" s="353" t="str">
        <f>Path</f>
        <v>Appendix G PRM</v>
      </c>
    </row>
    <row r="4" ht="30.0" customHeight="1">
      <c r="B4" s="150" t="s">
        <v>361</v>
      </c>
      <c r="C4" s="232" t="s">
        <v>540</v>
      </c>
      <c r="D4" s="112"/>
      <c r="E4" s="112"/>
      <c r="F4" s="112"/>
      <c r="G4" s="357" t="s">
        <v>541</v>
      </c>
      <c r="H4" s="357" t="str">
        <f>IFERROR(IF(TRUE, VLOOKUP($C4,Lists!$J$75:$O$88,6,FALSE),""),"")</f>
        <v>Heat Pump</v>
      </c>
      <c r="I4" s="357" t="s">
        <v>543</v>
      </c>
      <c r="J4" s="152" t="str">
        <f>IFERROR(IF(Path="Appendix G PRM", VLOOKUP($B4,Lists!$A$73:$B$81,2,FALSE),IFERROR(VLOOKUP(CONCATENATE(G:G,H:H,I:I), Lists!$S$81:$W$98,5,FALSE),"")),"")</f>
        <v>System 1: PTAC</v>
      </c>
      <c r="K4" s="361"/>
    </row>
    <row r="5" ht="30.0" customHeight="1">
      <c r="B5" s="150"/>
      <c r="C5" s="232"/>
      <c r="D5" s="112"/>
      <c r="E5" s="112"/>
      <c r="F5" s="112"/>
      <c r="G5" s="357" t="str">
        <f>IFERROR(IF(TRUE, VLOOKUP($C5,Lists!$J$75:$O$88,4,FALSE),""),"")</f>
        <v/>
      </c>
      <c r="H5" s="357" t="str">
        <f>IFERROR(IF(TRUE, VLOOKUP($C5,Lists!$J$75:$O$88,6,FALSE),""),"")</f>
        <v/>
      </c>
      <c r="I5" s="357" t="str">
        <f>IFERROR(IF(TRUE, VLOOKUP($C5,Lists!$J$75:$O$88,5,FALSE),""),"")</f>
        <v/>
      </c>
      <c r="J5" s="152" t="str">
        <f>IFERROR(IF(Path="Appendix G PRM", VLOOKUP($B5,Lists!$A$73:$B$81,2,FALSE),IFERROR(VLOOKUP(CONCATENATE(G:G,H:H,I:I), Lists!$S$81:$W$98,5,FALSE),"")),"")</f>
        <v/>
      </c>
      <c r="K5" s="361"/>
    </row>
    <row r="6" ht="30.0" customHeight="1">
      <c r="B6" s="150"/>
      <c r="C6" s="232"/>
      <c r="D6" s="112"/>
      <c r="E6" s="112"/>
      <c r="F6" s="112"/>
      <c r="G6" s="357" t="str">
        <f>IFERROR(IF(TRUE, VLOOKUP($C6,Lists!$J$75:$O$88,4,FALSE),""),"")</f>
        <v/>
      </c>
      <c r="H6" s="357" t="str">
        <f>IFERROR(IF(TRUE, VLOOKUP($C6,Lists!$J$75:$O$88,6,FALSE),""),"")</f>
        <v/>
      </c>
      <c r="I6" s="357" t="str">
        <f>IFERROR(IF(TRUE, VLOOKUP($C6,Lists!$J$75:$O$88,5,FALSE),""),"")</f>
        <v/>
      </c>
      <c r="J6" s="152" t="str">
        <f>IFERROR(IF(Path="Appendix G PRM", VLOOKUP($B6,Lists!$A$73:$B$81,2,FALSE),IFERROR(VLOOKUP(CONCATENATE(G:G,H:H,I:I), Lists!$S$81:$W$98,5,FALSE),"")),"")</f>
        <v/>
      </c>
      <c r="K6" s="361"/>
    </row>
    <row r="7" ht="30.0" customHeight="1">
      <c r="B7" s="150"/>
      <c r="C7" s="232"/>
      <c r="D7" s="112"/>
      <c r="E7" s="112"/>
      <c r="F7" s="112"/>
      <c r="G7" s="357" t="str">
        <f>IFERROR(IF(TRUE, VLOOKUP($C7,Lists!$J$75:$O$88,4,FALSE),""),"")</f>
        <v/>
      </c>
      <c r="H7" s="357" t="str">
        <f>IFERROR(IF(TRUE, VLOOKUP($C7,Lists!$J$75:$O$88,6,FALSE),""),"")</f>
        <v/>
      </c>
      <c r="I7" s="357" t="str">
        <f>IFERROR(IF(TRUE, VLOOKUP($C7,Lists!$J$75:$O$88,5,FALSE),""),"")</f>
        <v/>
      </c>
      <c r="J7" s="152" t="str">
        <f>IFERROR(IF(Path="Appendix G PRM", VLOOKUP($B7,Lists!$A$73:$B$81,2,FALSE),IFERROR(VLOOKUP(CONCATENATE(G:G,H:H,I:I), Lists!$S$81:$W$98,5,FALSE),"")),"")</f>
        <v/>
      </c>
      <c r="K7" s="361"/>
    </row>
    <row r="8" ht="30.0" customHeight="1">
      <c r="B8" s="150"/>
      <c r="C8" s="232"/>
      <c r="D8" s="112"/>
      <c r="E8" s="112"/>
      <c r="F8" s="112"/>
      <c r="G8" s="357" t="str">
        <f>IFERROR(IF(TRUE, VLOOKUP($C8,Lists!$J$75:$O$88,4,FALSE),""),"")</f>
        <v/>
      </c>
      <c r="H8" s="357" t="str">
        <f>IFERROR(IF(TRUE, VLOOKUP($C8,Lists!$J$75:$O$88,6,FALSE),""),"")</f>
        <v/>
      </c>
      <c r="I8" s="357" t="str">
        <f>IFERROR(IF(TRUE, VLOOKUP($C8,Lists!$J$75:$O$88,5,FALSE),""),"")</f>
        <v/>
      </c>
      <c r="J8" s="152" t="str">
        <f>IFERROR(IF(Path="Appendix G PRM", VLOOKUP($B8,Lists!$A$73:$B$81,2,FALSE),IFERROR(VLOOKUP(CONCATENATE(G:G,H:H,I:I), Lists!$S$81:$W$98,5,FALSE),"")),"")</f>
        <v/>
      </c>
      <c r="K8" s="361"/>
    </row>
    <row r="9" ht="30.0" customHeight="1">
      <c r="B9" s="150"/>
      <c r="C9" s="232"/>
      <c r="D9" s="112"/>
      <c r="E9" s="112"/>
      <c r="F9" s="112"/>
      <c r="G9" s="357" t="str">
        <f>IFERROR(IF(TRUE, VLOOKUP($C9,Lists!$J$75:$O$88,4,FALSE),""),"")</f>
        <v/>
      </c>
      <c r="H9" s="357" t="str">
        <f>IFERROR(IF(TRUE, VLOOKUP($C9,Lists!$J$75:$O$88,6,FALSE),""),"")</f>
        <v/>
      </c>
      <c r="I9" s="357" t="str">
        <f>IFERROR(IF(TRUE, VLOOKUP($C9,Lists!$J$75:$O$88,5,FALSE),""),"")</f>
        <v/>
      </c>
      <c r="J9" s="152" t="str">
        <f>IFERROR(IF(Path="Appendix G PRM", VLOOKUP($B9,Lists!$A$73:$B$81,2,FALSE),IFERROR(VLOOKUP(CONCATENATE(G:G,H:H,I:I), Lists!$S$81:$W$98,5,FALSE),"")),"")</f>
        <v/>
      </c>
      <c r="K9" s="361"/>
    </row>
    <row r="10" ht="30.0" customHeight="1">
      <c r="B10" s="150"/>
      <c r="C10" s="232"/>
      <c r="D10" s="112"/>
      <c r="E10" s="112"/>
      <c r="F10" s="112"/>
      <c r="G10" s="357" t="str">
        <f>IFERROR(IF(TRUE, VLOOKUP($C10,Lists!$J$75:$O$88,4,FALSE),""),"")</f>
        <v/>
      </c>
      <c r="H10" s="357" t="str">
        <f>IFERROR(IF(TRUE, VLOOKUP($C10,Lists!$J$75:$O$88,6,FALSE),""),"")</f>
        <v/>
      </c>
      <c r="I10" s="357" t="str">
        <f>IFERROR(IF(TRUE, VLOOKUP($C10,Lists!$J$75:$O$88,5,FALSE),""),"")</f>
        <v/>
      </c>
      <c r="J10" s="152" t="str">
        <f>IFERROR(IF(Path="Appendix G PRM", VLOOKUP($B10,Lists!$A$73:$B$81,2,FALSE),IFERROR(VLOOKUP(CONCATENATE(G:G,H:H,I:I), Lists!$S$81:$W$98,5,FALSE),"")),"")</f>
        <v/>
      </c>
      <c r="K10" s="361"/>
    </row>
    <row r="11" ht="30.0" customHeight="1">
      <c r="B11" s="150"/>
      <c r="C11" s="232"/>
      <c r="D11" s="112"/>
      <c r="E11" s="112"/>
      <c r="F11" s="112"/>
      <c r="G11" s="357" t="str">
        <f>IFERROR(IF(TRUE, VLOOKUP($C11,Lists!$J$75:$O$88,4,FALSE),""),"")</f>
        <v/>
      </c>
      <c r="H11" s="357" t="str">
        <f>IFERROR(IF(TRUE, VLOOKUP($C11,Lists!$J$75:$O$88,6,FALSE),""),"")</f>
        <v/>
      </c>
      <c r="I11" s="357" t="str">
        <f>IFERROR(IF(TRUE, VLOOKUP($C11,Lists!$J$75:$O$88,5,FALSE),""),"")</f>
        <v/>
      </c>
      <c r="J11" s="152" t="str">
        <f>IFERROR(IF(Path="Appendix G PRM", VLOOKUP($B11,Lists!$A$73:$B$81,2,FALSE),IFERROR(VLOOKUP(CONCATENATE(G:G,H:H,I:I), Lists!$S$81:$W$98,5,FALSE),"")),"")</f>
        <v/>
      </c>
      <c r="K11" s="361"/>
    </row>
    <row r="12" ht="30.0" customHeight="1">
      <c r="B12" s="150"/>
      <c r="C12" s="232"/>
      <c r="D12" s="112"/>
      <c r="E12" s="112"/>
      <c r="F12" s="112"/>
      <c r="G12" s="357" t="str">
        <f>IFERROR(IF(TRUE, VLOOKUP($C12,Lists!$J$75:$O$88,4,FALSE),""),"")</f>
        <v/>
      </c>
      <c r="H12" s="357" t="str">
        <f>IFERROR(IF(TRUE, VLOOKUP($C12,Lists!$J$75:$O$88,6,FALSE),""),"")</f>
        <v/>
      </c>
      <c r="I12" s="357" t="str">
        <f>IFERROR(IF(TRUE, VLOOKUP($C12,Lists!$J$75:$O$88,5,FALSE),""),"")</f>
        <v/>
      </c>
      <c r="J12" s="152" t="str">
        <f>IFERROR(IF(Path="Appendix G PRM", VLOOKUP($B12,Lists!$A$73:$B$81,2,FALSE),IFERROR(VLOOKUP(CONCATENATE(G:G,H:H,I:I), Lists!$S$81:$W$98,5,FALSE),"")),"")</f>
        <v/>
      </c>
      <c r="K12" s="361"/>
    </row>
    <row r="13" ht="30.0" customHeight="1">
      <c r="B13" s="150"/>
      <c r="C13" s="232"/>
      <c r="D13" s="112"/>
      <c r="E13" s="112"/>
      <c r="F13" s="112"/>
      <c r="G13" s="357" t="str">
        <f>IFERROR(IF(TRUE, VLOOKUP($C13,Lists!$J$75:$O$88,4,FALSE),""),"")</f>
        <v/>
      </c>
      <c r="H13" s="357" t="str">
        <f>IFERROR(IF(TRUE, VLOOKUP($C13,Lists!$J$75:$O$88,6,FALSE),""),"")</f>
        <v/>
      </c>
      <c r="I13" s="357" t="str">
        <f>IFERROR(IF(TRUE, VLOOKUP($C13,Lists!$J$75:$O$88,5,FALSE),""),"")</f>
        <v/>
      </c>
      <c r="J13" s="152" t="str">
        <f>IFERROR(IF(Path="Appendix G PRM", VLOOKUP($B13,Lists!$A$73:$B$81,2,FALSE),IFERROR(VLOOKUP(CONCATENATE(G:G,H:H,I:I), Lists!$S$81:$W$98,5,FALSE),"")),"")</f>
        <v/>
      </c>
      <c r="K13" s="361"/>
    </row>
    <row r="15" ht="32.25" customHeight="1">
      <c r="B15" s="228" t="s">
        <v>632</v>
      </c>
      <c r="C15" s="228" t="s">
        <v>633</v>
      </c>
      <c r="D15" s="228" t="s">
        <v>635</v>
      </c>
      <c r="E15" s="228" t="str">
        <f>IF(TRUE, "Heating System Classification", "Section 11 Column")</f>
        <v>Heating System Classification</v>
      </c>
    </row>
    <row r="16" ht="32.25" customHeight="1">
      <c r="B16" s="152" t="str">
        <f>IFERROR(IF(Path="Appendix G PRM", VLOOKUP($B4,Lists!$A$73:$B$81,2,FALSE),J4),"")</f>
        <v>System 1: PTAC</v>
      </c>
      <c r="C16" s="152" t="str">
        <f>IFERROR(IF(Path="Section 11 ECB", VLOOKUP($B16,Lists!$W$81:$Z$98,3,FALSE),VLOOKUP($B16,Lists!$J$61:$P$67,6,FALSE)),"")</f>
        <v>Cool: 3.2 COP -- Heat: Boiler</v>
      </c>
      <c r="D16" s="152" t="str">
        <f>IFERROR(IF(Path="Section 11 ECB", VLOOKUP($B16,Lists!$W$81:$Z$98,2,FALSE),VLOOKUP($B16,Lists!$J$61:$P$67,7,FALSE)),"")</f>
        <v>Supply CFM * .3 </v>
      </c>
      <c r="E16" s="152" t="str">
        <f>IFERROR(IF(Path="Section 11 ECB", VLOOKUP($B16,Lists!$W$81:$AA$98,5,FALSE),VLOOKUP($B16,Lists!$J$61:$P$67,5,FALSE)),"")</f>
        <v>Hot-water fossil fuel boiler</v>
      </c>
    </row>
    <row r="17" ht="32.25" customHeight="1">
      <c r="B17" s="152" t="str">
        <f>IFERROR(IF(Path="Appendix G PRM", VLOOKUP($B5,Lists!$A$73:$B$81,2,FALSE),J5),"")</f>
        <v/>
      </c>
      <c r="C17" s="152" t="str">
        <f>IFERROR(IF(Path="Section 11 ECB", VLOOKUP($B17,Lists!$W$81:$Z$98,3,FALSE),VLOOKUP($B17,Lists!$J$61:$P$67,6,FALSE)),"")</f>
        <v/>
      </c>
      <c r="D17" s="152" t="str">
        <f>IFERROR(IF(Path="Section 11 ECB", VLOOKUP($B17,Lists!$W$81:$Z$98,2,FALSE),VLOOKUP($B17,Lists!$J$61:$P$67,7,FALSE)),"")</f>
        <v/>
      </c>
      <c r="E17" s="152" t="str">
        <f>IFERROR(IF(Path="Section 11 ECB", VLOOKUP($B17,Lists!$W$81:$AA$98,5,FALSE),VLOOKUP($B17,Lists!$J$61:$P$67,5,FALSE)),"")</f>
        <v/>
      </c>
      <c r="G17" s="228" t="s">
        <v>667</v>
      </c>
      <c r="I17" s="290"/>
    </row>
    <row r="18" ht="32.25" customHeight="1">
      <c r="B18" s="152" t="str">
        <f>IFERROR(IF(Path="Appendix G PRM", VLOOKUP($B6,Lists!$A$73:$B$81,2,FALSE),J6),"")</f>
        <v/>
      </c>
      <c r="C18" s="152" t="str">
        <f>IFERROR(IF(Path="Section 11 ECB", VLOOKUP($B18,Lists!$W$81:$Z$98,3,FALSE),VLOOKUP($B18,Lists!$J$61:$P$67,6,FALSE)),"")</f>
        <v/>
      </c>
      <c r="D18" s="152" t="str">
        <f>IFERROR(IF(Path="Section 11 ECB", VLOOKUP($B18,Lists!$W$81:$Z$98,2,FALSE),VLOOKUP($B18,Lists!$J$61:$P$67,7,FALSE)),"")</f>
        <v/>
      </c>
      <c r="E18" s="152" t="str">
        <f>IFERROR(IF(Path="Section 11 ECB", VLOOKUP($B18,Lists!$W$81:$AA$98,5,FALSE),VLOOKUP($B18,Lists!$J$61:$P$67,5,FALSE)),"")</f>
        <v/>
      </c>
      <c r="G18" s="152">
        <f>ROWS(C4:C13)-COUNTBLANK(C4:C13)</f>
        <v>1</v>
      </c>
    </row>
    <row r="19" ht="32.25" customHeight="1">
      <c r="B19" s="152" t="str">
        <f>IFERROR(IF(Path="Appendix G PRM", VLOOKUP($B7,Lists!$A$73:$B$81,2,FALSE),J7),"")</f>
        <v/>
      </c>
      <c r="C19" s="152" t="str">
        <f>IFERROR(IF(Path="Section 11 ECB", VLOOKUP($B19,Lists!$W$81:$Z$98,3,FALSE),VLOOKUP($B19,Lists!$J$61:$P$67,6,FALSE)),"")</f>
        <v/>
      </c>
      <c r="D19" s="152" t="str">
        <f>IFERROR(IF(Path="Section 11 ECB", VLOOKUP($B19,Lists!$W$81:$Z$98,2,FALSE),VLOOKUP($B19,Lists!$J$61:$P$67,7,FALSE)),"")</f>
        <v/>
      </c>
      <c r="E19" s="152" t="str">
        <f>IFERROR(IF(Path="Section 11 ECB", VLOOKUP($B19,Lists!$W$81:$AA$98,5,FALSE),VLOOKUP($B19,Lists!$J$61:$P$67,5,FALSE)),"")</f>
        <v/>
      </c>
    </row>
    <row r="20" ht="32.25" customHeight="1">
      <c r="B20" s="152" t="str">
        <f>IFERROR(IF(Path="Appendix G PRM", VLOOKUP($B8,Lists!$A$73:$B$81,2,FALSE),J8),"")</f>
        <v/>
      </c>
      <c r="C20" s="152" t="str">
        <f>IFERROR(IF(Path="Section 11 ECB", VLOOKUP($B20,Lists!$W$81:$Z$98,3,FALSE),VLOOKUP($B20,Lists!$J$61:$P$67,6,FALSE)),"")</f>
        <v/>
      </c>
      <c r="D20" s="152" t="str">
        <f>IFERROR(IF(Path="Section 11 ECB", VLOOKUP($B20,Lists!$W$81:$Z$98,2,FALSE),VLOOKUP($B20,Lists!$J$61:$P$67,7,FALSE)),"")</f>
        <v/>
      </c>
      <c r="E20" s="152" t="str">
        <f>IFERROR(IF(Path="Section 11 ECB", VLOOKUP($B20,Lists!$W$81:$AA$98,5,FALSE),VLOOKUP($B20,Lists!$J$61:$P$67,5,FALSE)),"")</f>
        <v/>
      </c>
    </row>
    <row r="21" ht="32.25" customHeight="1">
      <c r="B21" s="152" t="str">
        <f>IFERROR(IF(Path="Appendix G PRM", VLOOKUP($B9,Lists!$A$73:$B$81,2,FALSE),J9),"")</f>
        <v/>
      </c>
      <c r="C21" s="152" t="str">
        <f>IFERROR(IF(Path="Section 11 ECB", VLOOKUP($B21,Lists!$W$81:$Z$98,3,FALSE),VLOOKUP($B21,Lists!$J$61:$P$67,6,FALSE)),"")</f>
        <v/>
      </c>
      <c r="D21" s="152" t="str">
        <f>IFERROR(IF(Path="Section 11 ECB", VLOOKUP($B21,Lists!$W$81:$Z$98,2,FALSE),VLOOKUP($B21,Lists!$J$61:$P$67,7,FALSE)),"")</f>
        <v/>
      </c>
      <c r="E21" s="152" t="str">
        <f>IFERROR(IF(Path="Section 11 ECB", VLOOKUP($B21,Lists!$W$81:$AA$98,5,FALSE),VLOOKUP($B21,Lists!$J$61:$P$67,5,FALSE)),"")</f>
        <v/>
      </c>
    </row>
    <row r="22" ht="32.25" customHeight="1">
      <c r="B22" s="152" t="str">
        <f>IFERROR(IF(Path="Appendix G PRM", VLOOKUP($B10,Lists!$A$73:$B$81,2,FALSE),J10),"")</f>
        <v/>
      </c>
      <c r="C22" s="152" t="str">
        <f>IFERROR(IF(Path="Section 11 ECB", VLOOKUP($B22,Lists!$W$81:$Z$98,3,FALSE),VLOOKUP($B22,Lists!$J$61:$P$67,6,FALSE)),"")</f>
        <v/>
      </c>
      <c r="D22" s="152" t="str">
        <f>IFERROR(IF(Path="Section 11 ECB", VLOOKUP($B22,Lists!$W$81:$Z$98,2,FALSE),VLOOKUP($B22,Lists!$J$61:$P$67,7,FALSE)),"")</f>
        <v/>
      </c>
      <c r="E22" s="152" t="str">
        <f>IFERROR(IF(Path="Section 11 ECB", VLOOKUP($B22,Lists!$W$81:$AA$98,5,FALSE),VLOOKUP($B22,Lists!$J$61:$P$67,5,FALSE)),"")</f>
        <v/>
      </c>
      <c r="G22" s="3"/>
    </row>
    <row r="23" ht="32.25" customHeight="1">
      <c r="B23" s="152" t="str">
        <f>IFERROR(IF(Path="Appendix G PRM", VLOOKUP($B11,Lists!$A$73:$B$81,2,FALSE),J11),"")</f>
        <v/>
      </c>
      <c r="C23" s="152" t="str">
        <f>IFERROR(IF(Path="Section 11 ECB", VLOOKUP($B23,Lists!$W$81:$Z$98,3,FALSE),VLOOKUP($B23,Lists!$J$61:$P$67,6,FALSE)),"")</f>
        <v/>
      </c>
      <c r="D23" s="152" t="str">
        <f>IFERROR(IF(Path="Section 11 ECB", VLOOKUP($B23,Lists!$W$81:$Z$98,2,FALSE),VLOOKUP($B23,Lists!$J$61:$P$67,7,FALSE)),"")</f>
        <v/>
      </c>
      <c r="E23" s="152" t="str">
        <f>IFERROR(IF(Path="Section 11 ECB", VLOOKUP($B23,Lists!$W$81:$AA$98,5,FALSE),VLOOKUP($B23,Lists!$J$61:$P$67,5,FALSE)),"")</f>
        <v/>
      </c>
    </row>
    <row r="24" ht="32.25" customHeight="1">
      <c r="B24" s="152" t="str">
        <f>IFERROR(IF(Path="Appendix G PRM", VLOOKUP($B12,Lists!$A$73:$B$81,2,FALSE),J12),"")</f>
        <v/>
      </c>
      <c r="C24" s="152" t="str">
        <f>IFERROR(IF(Path="Section 11 ECB", VLOOKUP($B24,Lists!$W$81:$Z$98,3,FALSE),VLOOKUP($B24,Lists!$J$61:$P$67,6,FALSE)),"")</f>
        <v/>
      </c>
      <c r="D24" s="152" t="str">
        <f>IFERROR(IF(Path="Section 11 ECB", VLOOKUP($B24,Lists!$W$81:$Z$98,2,FALSE),VLOOKUP($B24,Lists!$J$61:$P$67,7,FALSE)),"")</f>
        <v/>
      </c>
      <c r="E24" s="152" t="str">
        <f>IFERROR(IF(Path="Section 11 ECB", VLOOKUP($B24,Lists!$W$81:$AA$98,5,FALSE),VLOOKUP($B24,Lists!$J$61:$P$67,5,FALSE)),"")</f>
        <v/>
      </c>
    </row>
    <row r="25" ht="32.25" customHeight="1">
      <c r="B25" s="152" t="str">
        <f>IFERROR(IF(Path="Appendix G PRM", VLOOKUP($B13,Lists!$A$73:$B$81,2,FALSE),J13),"")</f>
        <v/>
      </c>
      <c r="C25" s="152" t="str">
        <f>IFERROR(IF(Path="Section 11 ECB", VLOOKUP($B25,Lists!$W$81:$Z$98,3,FALSE),VLOOKUP($B25,Lists!$J$61:$P$67,6,FALSE)),"")</f>
        <v/>
      </c>
      <c r="D25" s="152" t="str">
        <f>IFERROR(IF(Path="Section 11 ECB", VLOOKUP($B25,Lists!$W$81:$Z$98,2,FALSE),VLOOKUP($B25,Lists!$J$61:$P$67,7,FALSE)),"")</f>
        <v/>
      </c>
      <c r="E25" s="152" t="str">
        <f>IFERROR(IF(Path="Section 11 ECB", VLOOKUP($B25,Lists!$W$81:$AA$98,5,FALSE),VLOOKUP($B25,Lists!$J$61:$P$67,5,FALSE)),"")</f>
        <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F2"/>
    <mergeCell ref="G2:I2"/>
    <mergeCell ref="J2:J3"/>
  </mergeCells>
  <conditionalFormatting sqref="B4:B13">
    <cfRule type="expression" dxfId="3" priority="1">
      <formula>"$D$2=""Section 11 ECB"""</formula>
    </cfRule>
  </conditionalFormatting>
  <dataValidations>
    <dataValidation type="list" allowBlank="1" showErrorMessage="1" sqref="H4:H13">
      <formula1>Lists!$U$77:$U$79</formula1>
    </dataValidation>
    <dataValidation type="list" allowBlank="1" showErrorMessage="1" sqref="G4:G13">
      <formula1>Lists!$T$77:$T$78</formula1>
    </dataValidation>
    <dataValidation type="list" allowBlank="1" showErrorMessage="1" sqref="B4:B13">
      <formula1>Lists!$A$73:$A$81</formula1>
    </dataValidation>
    <dataValidation type="list" allowBlank="1" showErrorMessage="1" sqref="C4:C13">
      <formula1>Lists!$J$75:$J$87</formula1>
    </dataValidation>
    <dataValidation type="list" allowBlank="1" showErrorMessage="1" sqref="I4:I13">
      <formula1>Lists!$V$77:$V$79</formula1>
    </dataValidation>
  </dataValidations>
  <printOptions/>
  <pageMargins bottom="0.75" footer="0.0" header="0.0" left="0.42452830188679247" right="0.3867924528301887" top="0.75"/>
  <pageSetup scale="91" orientation="portrait"/>
  <headerFooter>
    <oddFooter>&amp;LVersion 7&amp;RAugust 2023</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8.71"/>
    <col customWidth="1" min="4" max="4" width="8.71"/>
    <col customWidth="1" min="5" max="5" width="7.43"/>
    <col customWidth="1" min="6" max="6" width="8.71"/>
    <col customWidth="1" min="7" max="7" width="14.43"/>
    <col customWidth="1" min="8" max="8" width="6.86"/>
    <col customWidth="1" min="9" max="9" width="11.71"/>
    <col customWidth="1" min="10" max="10" width="12.14"/>
  </cols>
  <sheetData>
    <row r="2" ht="15.75" customHeight="1">
      <c r="A2" s="360" t="s">
        <v>545</v>
      </c>
      <c r="B2" s="335" t="s">
        <v>546</v>
      </c>
      <c r="C2" s="67"/>
      <c r="D2" s="67"/>
      <c r="E2" s="67"/>
      <c r="F2" s="67"/>
      <c r="G2" s="67"/>
      <c r="H2" s="67"/>
      <c r="I2" s="67"/>
      <c r="J2" s="68"/>
    </row>
    <row r="3" ht="25.5" customHeight="1">
      <c r="A3" s="362"/>
      <c r="B3" s="46"/>
      <c r="C3" s="75" t="s">
        <v>548</v>
      </c>
      <c r="D3" s="67"/>
      <c r="E3" s="68"/>
      <c r="F3" s="75" t="s">
        <v>549</v>
      </c>
      <c r="G3" s="67"/>
      <c r="H3" s="67"/>
      <c r="I3" s="67"/>
      <c r="J3" s="68"/>
    </row>
    <row r="4" ht="25.5" customHeight="1">
      <c r="A4" s="49"/>
      <c r="B4" s="51"/>
      <c r="C4" s="124" t="s">
        <v>550</v>
      </c>
      <c r="D4" s="68"/>
      <c r="E4" s="99" t="s">
        <v>499</v>
      </c>
      <c r="F4" s="124" t="s">
        <v>550</v>
      </c>
      <c r="G4" s="68"/>
      <c r="H4" s="99" t="s">
        <v>499</v>
      </c>
      <c r="I4" s="228" t="s">
        <v>183</v>
      </c>
      <c r="J4" s="99" t="s">
        <v>184</v>
      </c>
    </row>
    <row r="5" ht="15.0" customHeight="1">
      <c r="A5" s="226" t="s">
        <v>552</v>
      </c>
      <c r="B5" s="46"/>
      <c r="C5" s="336"/>
      <c r="D5" s="67"/>
      <c r="E5" s="68"/>
      <c r="F5" s="363"/>
      <c r="G5" s="45"/>
      <c r="H5" s="46"/>
      <c r="I5" s="364"/>
      <c r="J5" s="364"/>
    </row>
    <row r="6" ht="14.25" customHeight="1">
      <c r="A6" s="47"/>
      <c r="B6" s="48"/>
      <c r="C6" s="365"/>
      <c r="D6" s="45"/>
      <c r="E6" s="46"/>
      <c r="F6" s="47"/>
      <c r="H6" s="48"/>
      <c r="I6" s="364"/>
      <c r="J6" s="364"/>
    </row>
    <row r="7">
      <c r="A7" s="49"/>
      <c r="B7" s="51"/>
      <c r="C7" s="49"/>
      <c r="D7" s="50"/>
      <c r="E7" s="51"/>
      <c r="F7" s="49"/>
      <c r="G7" s="50"/>
      <c r="H7" s="51"/>
      <c r="I7" s="364"/>
      <c r="J7" s="364"/>
    </row>
    <row r="8" ht="24.0" customHeight="1">
      <c r="A8" s="95" t="s">
        <v>555</v>
      </c>
      <c r="B8" s="68"/>
      <c r="C8" s="366" t="s">
        <v>556</v>
      </c>
      <c r="D8" s="216"/>
      <c r="E8" s="127"/>
      <c r="F8" s="367" t="s">
        <v>557</v>
      </c>
      <c r="G8" s="67"/>
      <c r="H8" s="68"/>
      <c r="I8" s="364" t="s">
        <v>558</v>
      </c>
      <c r="J8" s="112" t="s">
        <v>340</v>
      </c>
    </row>
    <row r="9" ht="26.25" customHeight="1">
      <c r="A9" s="95" t="s">
        <v>560</v>
      </c>
      <c r="B9" s="68"/>
      <c r="C9" s="339">
        <v>1.0</v>
      </c>
      <c r="D9" s="67"/>
      <c r="E9" s="68"/>
      <c r="F9" s="339">
        <v>1.0</v>
      </c>
      <c r="G9" s="67"/>
      <c r="H9" s="68"/>
      <c r="I9" s="364" t="s">
        <v>558</v>
      </c>
      <c r="J9" s="112" t="s">
        <v>340</v>
      </c>
    </row>
    <row r="10" ht="24.75" customHeight="1">
      <c r="A10" s="95" t="s">
        <v>561</v>
      </c>
      <c r="B10" s="68"/>
      <c r="C10" s="368">
        <v>924846.659</v>
      </c>
      <c r="D10" s="68"/>
      <c r="E10" s="369" t="s">
        <v>563</v>
      </c>
      <c r="F10" s="368">
        <v>281873.608</v>
      </c>
      <c r="G10" s="68"/>
      <c r="H10" s="232" t="s">
        <v>564</v>
      </c>
      <c r="I10" s="364" t="s">
        <v>558</v>
      </c>
      <c r="J10" s="112" t="s">
        <v>340</v>
      </c>
    </row>
    <row r="11" ht="36.0" customHeight="1">
      <c r="A11" s="95" t="s">
        <v>565</v>
      </c>
      <c r="B11" s="68"/>
      <c r="C11" s="370"/>
      <c r="D11" s="68"/>
      <c r="E11" s="369" t="s">
        <v>563</v>
      </c>
      <c r="F11" s="124" t="s">
        <v>567</v>
      </c>
      <c r="G11" s="67"/>
      <c r="H11" s="68"/>
      <c r="I11" s="364"/>
      <c r="J11" s="364"/>
    </row>
    <row r="12" ht="21.75" customHeight="1">
      <c r="A12" s="371" t="s">
        <v>568</v>
      </c>
      <c r="B12" s="127"/>
      <c r="C12" s="372">
        <v>8.89</v>
      </c>
      <c r="D12" s="127"/>
      <c r="E12" s="373" t="s">
        <v>570</v>
      </c>
      <c r="F12" s="368">
        <v>10.84</v>
      </c>
      <c r="G12" s="68"/>
      <c r="H12" s="374" t="s">
        <v>570</v>
      </c>
      <c r="I12" s="364" t="s">
        <v>558</v>
      </c>
      <c r="J12" s="112" t="s">
        <v>340</v>
      </c>
    </row>
    <row r="13" ht="24.0" customHeight="1">
      <c r="A13" s="95" t="s">
        <v>572</v>
      </c>
      <c r="B13" s="68"/>
      <c r="C13" s="368">
        <v>9.1</v>
      </c>
      <c r="D13" s="68"/>
      <c r="E13" s="375" t="s">
        <v>573</v>
      </c>
      <c r="F13" s="368">
        <v>11.0</v>
      </c>
      <c r="G13" s="68"/>
      <c r="H13" s="228" t="s">
        <v>573</v>
      </c>
      <c r="I13" s="364" t="s">
        <v>558</v>
      </c>
      <c r="J13" s="112" t="s">
        <v>340</v>
      </c>
    </row>
    <row r="14" ht="24.0" customHeight="1">
      <c r="A14" s="95" t="s">
        <v>574</v>
      </c>
      <c r="B14" s="68"/>
      <c r="C14" s="368">
        <v>617087.691</v>
      </c>
      <c r="D14" s="68"/>
      <c r="E14" s="369" t="s">
        <v>564</v>
      </c>
      <c r="F14" s="368">
        <v>293439.54</v>
      </c>
      <c r="G14" s="68"/>
      <c r="H14" s="232" t="s">
        <v>564</v>
      </c>
      <c r="I14" s="364" t="s">
        <v>558</v>
      </c>
      <c r="J14" s="112" t="s">
        <v>340</v>
      </c>
    </row>
    <row r="15" ht="36.0" customHeight="1">
      <c r="A15" s="95" t="s">
        <v>576</v>
      </c>
      <c r="B15" s="68"/>
      <c r="C15" s="370"/>
      <c r="D15" s="68"/>
      <c r="E15" s="369" t="s">
        <v>509</v>
      </c>
      <c r="F15" s="124" t="s">
        <v>509</v>
      </c>
      <c r="G15" s="67"/>
      <c r="H15" s="68"/>
      <c r="I15" s="364"/>
      <c r="J15" s="364"/>
    </row>
    <row r="16" ht="24.0" customHeight="1">
      <c r="A16" s="95" t="s">
        <v>578</v>
      </c>
      <c r="B16" s="68"/>
      <c r="C16" s="368" t="s">
        <v>579</v>
      </c>
      <c r="D16" s="68"/>
      <c r="E16" s="369" t="s">
        <v>580</v>
      </c>
      <c r="F16" s="368">
        <v>1.94</v>
      </c>
      <c r="G16" s="68"/>
      <c r="H16" s="232" t="s">
        <v>582</v>
      </c>
      <c r="I16" s="364" t="s">
        <v>558</v>
      </c>
      <c r="J16" s="112" t="s">
        <v>340</v>
      </c>
    </row>
    <row r="17" ht="14.25" customHeight="1">
      <c r="A17" s="95" t="s">
        <v>583</v>
      </c>
      <c r="B17" s="68"/>
      <c r="C17" s="258" t="s">
        <v>584</v>
      </c>
      <c r="D17" s="67"/>
      <c r="E17" s="68"/>
      <c r="F17" s="376" t="s">
        <v>585</v>
      </c>
      <c r="G17" s="68"/>
      <c r="H17" s="364"/>
      <c r="I17" s="364" t="s">
        <v>558</v>
      </c>
      <c r="J17" s="112" t="s">
        <v>340</v>
      </c>
    </row>
    <row r="18">
      <c r="A18" s="95" t="s">
        <v>587</v>
      </c>
      <c r="B18" s="68"/>
      <c r="C18" s="368">
        <v>28075.16</v>
      </c>
      <c r="D18" s="68"/>
      <c r="E18" s="228" t="s">
        <v>588</v>
      </c>
      <c r="F18" s="368">
        <v>9259.506</v>
      </c>
      <c r="G18" s="68"/>
      <c r="H18" s="228" t="s">
        <v>588</v>
      </c>
      <c r="I18" s="364" t="s">
        <v>558</v>
      </c>
      <c r="J18" s="112" t="s">
        <v>340</v>
      </c>
    </row>
    <row r="19">
      <c r="A19" s="95" t="str">
        <f>IF(AND(C19 &lt;&gt; F19,F19 &lt;&gt; ""),"OUTDOOR AIRFLOW","Outdoor Airflow")</f>
        <v>Outdoor Airflow</v>
      </c>
      <c r="B19" s="68"/>
      <c r="C19" s="376"/>
      <c r="D19" s="68"/>
      <c r="E19" s="228" t="s">
        <v>588</v>
      </c>
      <c r="F19" s="376"/>
      <c r="G19" s="68"/>
      <c r="H19" s="228" t="s">
        <v>588</v>
      </c>
      <c r="I19" s="364"/>
      <c r="J19" s="364"/>
    </row>
    <row r="20" ht="24.0" customHeight="1">
      <c r="A20" s="95" t="s">
        <v>591</v>
      </c>
      <c r="B20" s="68"/>
      <c r="C20" s="258" t="s">
        <v>426</v>
      </c>
      <c r="D20" s="67"/>
      <c r="E20" s="68"/>
      <c r="F20" s="258" t="s">
        <v>426</v>
      </c>
      <c r="G20" s="67"/>
      <c r="H20" s="68"/>
      <c r="I20" s="364"/>
      <c r="J20" s="364"/>
    </row>
    <row r="21" ht="20.25" customHeight="1">
      <c r="A21" s="124" t="s">
        <v>599</v>
      </c>
      <c r="B21" s="68"/>
      <c r="C21" s="258"/>
      <c r="D21" s="67"/>
      <c r="E21" s="68"/>
      <c r="F21" s="258"/>
      <c r="G21" s="67"/>
      <c r="H21" s="68"/>
      <c r="I21" s="364"/>
      <c r="J21" s="364"/>
    </row>
    <row r="22" ht="14.25" customHeight="1">
      <c r="A22" s="226" t="s">
        <v>608</v>
      </c>
      <c r="B22" s="46"/>
      <c r="C22" s="377"/>
      <c r="D22" s="45"/>
      <c r="E22" s="46"/>
      <c r="F22" s="377"/>
      <c r="G22" s="45"/>
      <c r="H22" s="46"/>
      <c r="I22" s="364"/>
      <c r="J22" s="364"/>
    </row>
    <row r="23" ht="11.25" customHeight="1">
      <c r="A23" s="49"/>
      <c r="B23" s="51"/>
      <c r="C23" s="49"/>
      <c r="D23" s="50"/>
      <c r="E23" s="51"/>
      <c r="F23" s="49"/>
      <c r="G23" s="50"/>
      <c r="H23" s="51"/>
      <c r="I23" s="364"/>
      <c r="J23" s="364"/>
    </row>
    <row r="24" ht="39.0" customHeight="1">
      <c r="A24" s="95" t="s">
        <v>625</v>
      </c>
      <c r="B24" s="68"/>
      <c r="C24" s="258" t="s">
        <v>426</v>
      </c>
      <c r="D24" s="67"/>
      <c r="E24" s="68"/>
      <c r="F24" s="258" t="s">
        <v>428</v>
      </c>
      <c r="G24" s="67"/>
      <c r="H24" s="68"/>
      <c r="I24" s="364" t="s">
        <v>558</v>
      </c>
      <c r="J24" s="112" t="s">
        <v>340</v>
      </c>
    </row>
    <row r="25" ht="26.25" customHeight="1">
      <c r="A25" s="95" t="s">
        <v>637</v>
      </c>
      <c r="B25" s="68"/>
      <c r="C25" s="378" t="str">
        <f>IF(C24="Yes","50%","")</f>
        <v/>
      </c>
      <c r="D25" s="67"/>
      <c r="E25" s="68"/>
      <c r="F25" s="339">
        <v>0.65</v>
      </c>
      <c r="G25" s="67"/>
      <c r="H25" s="68"/>
      <c r="I25" s="364" t="s">
        <v>558</v>
      </c>
      <c r="J25" s="112" t="s">
        <v>340</v>
      </c>
    </row>
    <row r="26" ht="17.25" customHeight="1">
      <c r="A26" s="95" t="s">
        <v>644</v>
      </c>
      <c r="B26" s="68"/>
      <c r="C26" s="368">
        <v>11.3209755251239</v>
      </c>
      <c r="D26" s="68"/>
      <c r="E26" s="228" t="s">
        <v>646</v>
      </c>
      <c r="F26" s="368">
        <v>2.50891822601788</v>
      </c>
      <c r="G26" s="68"/>
      <c r="H26" s="228" t="s">
        <v>646</v>
      </c>
      <c r="I26" s="364" t="s">
        <v>558</v>
      </c>
      <c r="J26" s="112" t="s">
        <v>340</v>
      </c>
    </row>
    <row r="27" ht="15.75" customHeight="1">
      <c r="A27" s="95" t="s">
        <v>648</v>
      </c>
      <c r="B27" s="68"/>
      <c r="C27" s="368">
        <v>80.0</v>
      </c>
      <c r="D27" s="68"/>
      <c r="E27" s="228" t="s">
        <v>650</v>
      </c>
      <c r="F27" s="368">
        <v>90.0</v>
      </c>
      <c r="G27" s="68"/>
      <c r="H27" s="228" t="s">
        <v>650</v>
      </c>
      <c r="I27" s="364" t="s">
        <v>558</v>
      </c>
      <c r="J27" s="112" t="s">
        <v>340</v>
      </c>
    </row>
    <row r="28" ht="15.75" customHeight="1">
      <c r="A28" s="95" t="s">
        <v>651</v>
      </c>
      <c r="B28" s="68"/>
      <c r="C28" s="124"/>
      <c r="D28" s="68"/>
      <c r="E28" s="228" t="s">
        <v>506</v>
      </c>
      <c r="F28" s="368">
        <v>1.8709</v>
      </c>
      <c r="G28" s="68"/>
      <c r="H28" s="228" t="s">
        <v>506</v>
      </c>
      <c r="I28" s="364" t="s">
        <v>558</v>
      </c>
      <c r="J28" s="112" t="s">
        <v>340</v>
      </c>
    </row>
    <row r="29" ht="15.75" customHeight="1">
      <c r="A29" s="95" t="s">
        <v>653</v>
      </c>
      <c r="B29" s="68"/>
      <c r="C29" s="124"/>
      <c r="D29" s="68"/>
      <c r="E29" s="228" t="s">
        <v>506</v>
      </c>
      <c r="F29" s="376"/>
      <c r="G29" s="68"/>
      <c r="H29" s="228" t="s">
        <v>506</v>
      </c>
      <c r="I29" s="364"/>
      <c r="J29" s="364"/>
    </row>
    <row r="30" ht="15.75" customHeight="1">
      <c r="A30" s="95" t="s">
        <v>664</v>
      </c>
      <c r="B30" s="68"/>
      <c r="C30" s="124"/>
      <c r="D30" s="68"/>
      <c r="E30" s="228" t="s">
        <v>506</v>
      </c>
      <c r="F30" s="368">
        <v>0.15</v>
      </c>
      <c r="G30" s="68"/>
      <c r="H30" s="228" t="s">
        <v>506</v>
      </c>
      <c r="I30" s="364" t="s">
        <v>558</v>
      </c>
      <c r="J30" s="112" t="s">
        <v>340</v>
      </c>
    </row>
    <row r="31" ht="15.75" customHeight="1">
      <c r="A31" s="95" t="s">
        <v>669</v>
      </c>
      <c r="B31" s="68"/>
      <c r="C31" s="124"/>
      <c r="D31" s="68"/>
      <c r="E31" s="228" t="s">
        <v>506</v>
      </c>
      <c r="F31" s="376"/>
      <c r="G31" s="68"/>
      <c r="H31" s="228" t="s">
        <v>506</v>
      </c>
      <c r="I31" s="364"/>
      <c r="J31" s="364"/>
    </row>
    <row r="32" ht="24.0" customHeight="1">
      <c r="A32" s="279" t="str">
        <f>IF(OR((SUM(C28:D31)&lt;&gt;C32),(SUM(F28:G31)&lt;&gt;F32)),"Allowed/Total Fan Power:","Allowed/Total FAN POWER:")</f>
        <v>Allowed/Total Fan Power:</v>
      </c>
      <c r="B32" s="68"/>
      <c r="C32" s="380"/>
      <c r="D32" s="68"/>
      <c r="E32" s="228" t="s">
        <v>506</v>
      </c>
      <c r="F32" s="376"/>
      <c r="G32" s="68"/>
      <c r="H32" s="228" t="s">
        <v>506</v>
      </c>
      <c r="I32" s="364"/>
      <c r="J32" s="364"/>
    </row>
    <row r="33" ht="15.75" customHeight="1">
      <c r="A33" s="124" t="s">
        <v>695</v>
      </c>
      <c r="B33" s="68"/>
      <c r="C33" s="366">
        <f>IF(OR(C12="",C12="NA- chiller dependent"),"",3.412/C12)</f>
        <v>0.3838020247</v>
      </c>
      <c r="D33" s="216"/>
      <c r="E33" s="127"/>
      <c r="F33" s="366">
        <f>IF(OR(F12="",F12="NA- chiller dependent"),"",3.412/F12)</f>
        <v>0.3147601476</v>
      </c>
      <c r="G33" s="216"/>
      <c r="H33" s="127"/>
      <c r="I33" s="112"/>
      <c r="J33" s="112"/>
    </row>
    <row r="34" ht="15.75" customHeight="1">
      <c r="A34" s="124" t="s">
        <v>718</v>
      </c>
      <c r="B34" s="68"/>
      <c r="C34" s="336" t="str">
        <f>IF(OR(C16="",C16="NA- boiler dependent"),"",1/C16)</f>
        <v/>
      </c>
      <c r="D34" s="67"/>
      <c r="E34" s="68"/>
      <c r="F34" s="336">
        <f>IF(OR(F16="",F16="NA- boiler dependent"),"",1/F16)</f>
        <v>0.5154639175</v>
      </c>
      <c r="G34" s="67"/>
      <c r="H34" s="68"/>
      <c r="I34" s="112"/>
      <c r="J34" s="112"/>
    </row>
    <row r="35" ht="15.75" customHeight="1">
      <c r="A35" s="124" t="s">
        <v>731</v>
      </c>
      <c r="B35" s="68"/>
      <c r="C35" s="366" t="str">
        <f>IF(C19="","",C19/cfm)</f>
        <v/>
      </c>
      <c r="D35" s="216"/>
      <c r="E35" s="127"/>
      <c r="F35" s="366" t="str">
        <f>IF(F19="","",F19/cfm)</f>
        <v/>
      </c>
      <c r="G35" s="216"/>
      <c r="H35" s="127"/>
      <c r="I35" s="112"/>
      <c r="J35" s="112"/>
    </row>
    <row r="36" ht="15.75" customHeight="1">
      <c r="A36" s="124" t="s">
        <v>759</v>
      </c>
      <c r="B36" s="68"/>
      <c r="C36" s="339"/>
      <c r="D36" s="67"/>
      <c r="E36" s="68"/>
      <c r="F36" s="339"/>
      <c r="G36" s="67"/>
      <c r="H36" s="68"/>
      <c r="I36" s="112"/>
      <c r="J36" s="112"/>
    </row>
    <row r="37" ht="15.75" customHeight="1">
      <c r="A37" s="182"/>
      <c r="B37" s="45"/>
      <c r="C37" s="45"/>
      <c r="D37" s="45"/>
      <c r="E37" s="45"/>
      <c r="F37" s="45"/>
      <c r="G37" s="45"/>
      <c r="H37" s="45"/>
      <c r="I37" s="45"/>
      <c r="J37" s="46"/>
    </row>
    <row r="38" ht="15.75" customHeight="1">
      <c r="A38" s="47"/>
      <c r="J38" s="48"/>
    </row>
    <row r="39" ht="15.75" customHeight="1">
      <c r="A39" s="47"/>
      <c r="J39" s="48"/>
    </row>
    <row r="40" ht="15.75" customHeight="1">
      <c r="A40" s="47"/>
      <c r="J40" s="48"/>
    </row>
    <row r="41" ht="15.75" customHeight="1">
      <c r="A41" s="47"/>
      <c r="J41" s="48"/>
    </row>
    <row r="42" ht="15.75" customHeight="1">
      <c r="A42" s="47"/>
      <c r="J42" s="48"/>
    </row>
    <row r="43" ht="15.75" customHeight="1">
      <c r="A43" s="47"/>
      <c r="J43" s="48"/>
    </row>
    <row r="44" ht="15.75" customHeight="1">
      <c r="A44" s="49"/>
      <c r="B44" s="50"/>
      <c r="C44" s="50"/>
      <c r="D44" s="50"/>
      <c r="E44" s="50"/>
      <c r="F44" s="50"/>
      <c r="G44" s="50"/>
      <c r="H44" s="50"/>
      <c r="I44" s="50"/>
      <c r="J44" s="5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F19:G19"/>
    <mergeCell ref="F20:H20"/>
    <mergeCell ref="F12:G12"/>
    <mergeCell ref="F13:G13"/>
    <mergeCell ref="F14:G14"/>
    <mergeCell ref="F15:H15"/>
    <mergeCell ref="F16:G16"/>
    <mergeCell ref="F17:G17"/>
    <mergeCell ref="F18:G18"/>
    <mergeCell ref="A5:B7"/>
    <mergeCell ref="A8:B8"/>
    <mergeCell ref="A9:B9"/>
    <mergeCell ref="A10:B10"/>
    <mergeCell ref="A11:B11"/>
    <mergeCell ref="A12:B12"/>
    <mergeCell ref="A13:B13"/>
    <mergeCell ref="A14:B14"/>
    <mergeCell ref="A15:B15"/>
    <mergeCell ref="A16:B16"/>
    <mergeCell ref="A17:B17"/>
    <mergeCell ref="A18:B18"/>
    <mergeCell ref="A19:B19"/>
    <mergeCell ref="A20:B20"/>
    <mergeCell ref="A27:B27"/>
    <mergeCell ref="C27:D27"/>
    <mergeCell ref="F27:G27"/>
    <mergeCell ref="A28:B28"/>
    <mergeCell ref="C28:D28"/>
    <mergeCell ref="A29:B29"/>
    <mergeCell ref="C29:D29"/>
    <mergeCell ref="A33:B33"/>
    <mergeCell ref="A34:B34"/>
    <mergeCell ref="A35:B35"/>
    <mergeCell ref="A36:B36"/>
    <mergeCell ref="C34:E34"/>
    <mergeCell ref="C35:E35"/>
    <mergeCell ref="C36:E36"/>
    <mergeCell ref="A30:B30"/>
    <mergeCell ref="C30:D30"/>
    <mergeCell ref="A31:B31"/>
    <mergeCell ref="C31:D31"/>
    <mergeCell ref="A32:B32"/>
    <mergeCell ref="C32:D32"/>
    <mergeCell ref="C33:E33"/>
    <mergeCell ref="F35:H35"/>
    <mergeCell ref="F36:H36"/>
    <mergeCell ref="A37:J44"/>
    <mergeCell ref="F28:G28"/>
    <mergeCell ref="F29:G29"/>
    <mergeCell ref="F30:G30"/>
    <mergeCell ref="F31:G31"/>
    <mergeCell ref="F32:G32"/>
    <mergeCell ref="F33:H33"/>
    <mergeCell ref="F34:H34"/>
    <mergeCell ref="F4:G4"/>
    <mergeCell ref="F5:H7"/>
    <mergeCell ref="B2:J2"/>
    <mergeCell ref="A3:B4"/>
    <mergeCell ref="C3:E3"/>
    <mergeCell ref="F3:J3"/>
    <mergeCell ref="C4:D4"/>
    <mergeCell ref="C5:E5"/>
    <mergeCell ref="C6:E7"/>
    <mergeCell ref="C8:E8"/>
    <mergeCell ref="F8:H8"/>
    <mergeCell ref="C9:E9"/>
    <mergeCell ref="F9:H9"/>
    <mergeCell ref="C10:D10"/>
    <mergeCell ref="F10:G10"/>
    <mergeCell ref="F11:H11"/>
    <mergeCell ref="C18:D18"/>
    <mergeCell ref="C19:D19"/>
    <mergeCell ref="C20:E20"/>
    <mergeCell ref="C21:E21"/>
    <mergeCell ref="F21:H21"/>
    <mergeCell ref="C11:D11"/>
    <mergeCell ref="C12:D12"/>
    <mergeCell ref="C13:D13"/>
    <mergeCell ref="C14:D14"/>
    <mergeCell ref="C15:D15"/>
    <mergeCell ref="C16:D16"/>
    <mergeCell ref="C17:E17"/>
    <mergeCell ref="A21:B21"/>
    <mergeCell ref="A22:B23"/>
    <mergeCell ref="C22:E23"/>
    <mergeCell ref="F22:H23"/>
    <mergeCell ref="C24:E24"/>
    <mergeCell ref="F24:H24"/>
    <mergeCell ref="A24:B24"/>
    <mergeCell ref="A25:B25"/>
    <mergeCell ref="C25:E25"/>
    <mergeCell ref="F25:H25"/>
    <mergeCell ref="A26:B26"/>
    <mergeCell ref="C26:D26"/>
    <mergeCell ref="F26:G26"/>
  </mergeCells>
  <conditionalFormatting sqref="C9:H9">
    <cfRule type="containsBlanks" dxfId="0" priority="1">
      <formula>LEN(TRIM(C9))=0</formula>
    </cfRule>
  </conditionalFormatting>
  <conditionalFormatting sqref="C10:D10">
    <cfRule type="containsBlanks" dxfId="0" priority="2">
      <formula>LEN(TRIM(C10))=0</formula>
    </cfRule>
  </conditionalFormatting>
  <conditionalFormatting sqref="F10:G10">
    <cfRule type="containsBlanks" dxfId="0" priority="3">
      <formula>LEN(TRIM(F10))=0</formula>
    </cfRule>
  </conditionalFormatting>
  <conditionalFormatting sqref="C14:D14">
    <cfRule type="containsBlanks" dxfId="0" priority="4">
      <formula>LEN(TRIM(C14))=0</formula>
    </cfRule>
  </conditionalFormatting>
  <conditionalFormatting sqref="F14:G14">
    <cfRule type="containsBlanks" dxfId="0" priority="5">
      <formula>LEN(TRIM(F14))=0</formula>
    </cfRule>
  </conditionalFormatting>
  <conditionalFormatting sqref="F17:H17">
    <cfRule type="containsBlanks" dxfId="0" priority="6">
      <formula>LEN(TRIM(F17))=0</formula>
    </cfRule>
  </conditionalFormatting>
  <conditionalFormatting sqref="C18:D19">
    <cfRule type="containsBlanks" dxfId="0" priority="7">
      <formula>LEN(TRIM(C18))=0</formula>
    </cfRule>
  </conditionalFormatting>
  <conditionalFormatting sqref="C26:D26">
    <cfRule type="containsBlanks" dxfId="0" priority="8">
      <formula>LEN(TRIM(C26))=0</formula>
    </cfRule>
  </conditionalFormatting>
  <conditionalFormatting sqref="C27:D27">
    <cfRule type="containsBlanks" dxfId="0" priority="9">
      <formula>LEN(TRIM(C27))=0</formula>
    </cfRule>
  </conditionalFormatting>
  <conditionalFormatting sqref="F26:G27">
    <cfRule type="containsBlanks" dxfId="0" priority="10">
      <formula>LEN(TRIM(F26))=0</formula>
    </cfRule>
  </conditionalFormatting>
  <conditionalFormatting sqref="F32:G32">
    <cfRule type="containsBlanks" dxfId="0" priority="11">
      <formula>LEN(TRIM(F32))=0</formula>
    </cfRule>
  </conditionalFormatting>
  <conditionalFormatting sqref="C32:D32">
    <cfRule type="containsBlanks" dxfId="0" priority="12">
      <formula>LEN(TRIM(C32))=0</formula>
    </cfRule>
  </conditionalFormatting>
  <conditionalFormatting sqref="F18:G19">
    <cfRule type="containsBlanks" dxfId="0" priority="13">
      <formula>LEN(TRIM(F18))=0</formula>
    </cfRule>
  </conditionalFormatting>
  <conditionalFormatting sqref="I12:J12">
    <cfRule type="containsBlanks" dxfId="0" priority="14">
      <formula>LEN(TRIM(I12))=0</formula>
    </cfRule>
  </conditionalFormatting>
  <conditionalFormatting sqref="I5:J32">
    <cfRule type="containsBlanks" dxfId="0" priority="15">
      <formula>LEN(TRIM(I5))=0</formula>
    </cfRule>
  </conditionalFormatting>
  <conditionalFormatting sqref="I14:J14">
    <cfRule type="containsBlanks" dxfId="0" priority="16">
      <formula>LEN(TRIM(I14))=0</formula>
    </cfRule>
  </conditionalFormatting>
  <conditionalFormatting sqref="I16:J16">
    <cfRule type="containsBlanks" dxfId="0" priority="17">
      <formula>LEN(TRIM(I16))=0</formula>
    </cfRule>
  </conditionalFormatting>
  <conditionalFormatting sqref="I17:J17">
    <cfRule type="containsBlanks" dxfId="0" priority="18">
      <formula>LEN(TRIM(I17))=0</formula>
    </cfRule>
  </conditionalFormatting>
  <conditionalFormatting sqref="I18:J19">
    <cfRule type="containsBlanks" dxfId="0" priority="19">
      <formula>LEN(TRIM(I18))=0</formula>
    </cfRule>
  </conditionalFormatting>
  <conditionalFormatting sqref="I20:J20">
    <cfRule type="containsBlanks" dxfId="0" priority="20">
      <formula>LEN(TRIM(I20))=0</formula>
    </cfRule>
  </conditionalFormatting>
  <conditionalFormatting sqref="I21:J21">
    <cfRule type="containsBlanks" dxfId="0" priority="21">
      <formula>LEN(TRIM(I21))=0</formula>
    </cfRule>
  </conditionalFormatting>
  <conditionalFormatting sqref="I24:J24">
    <cfRule type="containsBlanks" dxfId="0" priority="22">
      <formula>LEN(TRIM(I24))=0</formula>
    </cfRule>
  </conditionalFormatting>
  <conditionalFormatting sqref="I26:J27">
    <cfRule type="containsBlanks" dxfId="0" priority="23">
      <formula>LEN(TRIM(I26))=0</formula>
    </cfRule>
  </conditionalFormatting>
  <conditionalFormatting sqref="I32:J32">
    <cfRule type="containsBlanks" dxfId="0" priority="24">
      <formula>LEN(TRIM(I32))=0</formula>
    </cfRule>
  </conditionalFormatting>
  <conditionalFormatting sqref="F12">
    <cfRule type="containsBlanks" dxfId="0" priority="25">
      <formula>LEN(TRIM(F12))=0</formula>
    </cfRule>
  </conditionalFormatting>
  <conditionalFormatting sqref="F12:F13">
    <cfRule type="containsBlanks" dxfId="0" priority="26">
      <formula>LEN(TRIM(F12))=0</formula>
    </cfRule>
  </conditionalFormatting>
  <conditionalFormatting sqref="F16">
    <cfRule type="containsBlanks" dxfId="0" priority="27">
      <formula>LEN(TRIM(F16))=0</formula>
    </cfRule>
  </conditionalFormatting>
  <conditionalFormatting sqref="F16">
    <cfRule type="containsBlanks" dxfId="0" priority="28">
      <formula>LEN(TRIM(F16))=0</formula>
    </cfRule>
  </conditionalFormatting>
  <conditionalFormatting sqref="F28:G31">
    <cfRule type="containsBlanks" dxfId="0" priority="29">
      <formula>LEN(TRIM(F28))=0</formula>
    </cfRule>
  </conditionalFormatting>
  <dataValidations>
    <dataValidation type="list" allowBlank="1" showErrorMessage="1" sqref="E14 H14">
      <formula1>Lists!$R$4:$R$5</formula1>
    </dataValidation>
    <dataValidation type="list" allowBlank="1" showErrorMessage="1" sqref="E12">
      <formula1>$S$4:$S$5</formula1>
    </dataValidation>
    <dataValidation type="list" allowBlank="1" showErrorMessage="1" sqref="H10 E10:E11 E15">
      <formula1>Lists!$R$4:$R$7</formula1>
    </dataValidation>
    <dataValidation type="list" allowBlank="1" showErrorMessage="1" sqref="C11 C15">
      <formula1>Lists!$R$61:$R$66</formula1>
    </dataValidation>
    <dataValidation type="list" allowBlank="1" showErrorMessage="1" sqref="C17">
      <formula1>Lists!$Z$93:$Z$95</formula1>
    </dataValidation>
    <dataValidation type="list" allowBlank="1" showErrorMessage="1" sqref="E16 H16">
      <formula1>Lists!$T$4:$T$8</formula1>
    </dataValidation>
    <dataValidation type="list" allowBlank="1" showErrorMessage="1" sqref="H12">
      <formula1>Lists!$S$4:$S$5</formula1>
    </dataValidation>
    <dataValidation type="list" allowBlank="1" showErrorMessage="1" sqref="C20:C21 F20:F21 C24 F24">
      <formula1>Yes_No</formula1>
    </dataValidation>
  </dataValidations>
  <printOptions/>
  <pageMargins bottom="0.75" footer="0.0" header="0.0" left="0.7" right="0.7" top="0.75"/>
  <pageSetup orientation="portrait"/>
  <headerFooter>
    <oddFooter>&amp;LVersion 7&amp;RAugust 2023</oddFooter>
  </headerFooter>
  <colBreaks count="1" manualBreakCount="1">
    <brk id="10" man="1"/>
  </colBrea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86"/>
    <col customWidth="1" min="2" max="2" width="30.14"/>
    <col customWidth="1" min="3" max="5" width="8.71"/>
    <col customWidth="1" min="6" max="6" width="16.0"/>
    <col customWidth="1" min="7" max="7" width="14.86"/>
    <col customWidth="1" min="8" max="8" width="11.14"/>
    <col customWidth="1" min="9" max="9" width="8.43"/>
    <col customWidth="1" min="10" max="10" width="22.86"/>
    <col customWidth="1" min="11" max="11" width="18.86"/>
    <col customWidth="1" min="12" max="12" width="20.57"/>
    <col customWidth="1" min="13" max="13" width="24.43"/>
    <col customWidth="1" min="14" max="14" width="26.71"/>
    <col customWidth="1" min="15" max="15" width="51.71"/>
    <col customWidth="1" min="16" max="16" width="35.43"/>
    <col customWidth="1" min="17" max="18" width="8.71"/>
    <col customWidth="1" min="19" max="19" width="48.29"/>
    <col customWidth="1" min="20" max="21" width="25.57"/>
    <col customWidth="1" min="22" max="22" width="30.29"/>
    <col customWidth="1" min="23" max="23" width="31.86"/>
    <col customWidth="1" min="24" max="24" width="14.14"/>
    <col customWidth="1" min="25" max="25" width="25.86"/>
    <col customWidth="1" min="26" max="27" width="8.71"/>
  </cols>
  <sheetData>
    <row r="1">
      <c r="A1" s="11" t="s">
        <v>592</v>
      </c>
      <c r="B1" s="11" t="s">
        <v>593</v>
      </c>
      <c r="F1" s="11" t="s">
        <v>595</v>
      </c>
      <c r="J1" s="11" t="s">
        <v>116</v>
      </c>
      <c r="M1" s="11">
        <v>40.0</v>
      </c>
      <c r="N1" s="11" t="s">
        <v>428</v>
      </c>
      <c r="Q1" s="11" t="s">
        <v>506</v>
      </c>
      <c r="R1" s="11" t="s">
        <v>491</v>
      </c>
      <c r="S1" s="11" t="s">
        <v>506</v>
      </c>
    </row>
    <row r="2">
      <c r="A2" s="11" t="s">
        <v>361</v>
      </c>
      <c r="B2" s="11" t="s">
        <v>596</v>
      </c>
      <c r="F2" s="11" t="s">
        <v>597</v>
      </c>
      <c r="J2" s="11" t="s">
        <v>598</v>
      </c>
      <c r="N2" s="11" t="s">
        <v>426</v>
      </c>
      <c r="Q2" s="11" t="s">
        <v>505</v>
      </c>
      <c r="R2" s="11" t="s">
        <v>520</v>
      </c>
      <c r="S2" s="11" t="s">
        <v>440</v>
      </c>
    </row>
    <row r="3">
      <c r="A3" s="11" t="s">
        <v>381</v>
      </c>
      <c r="B3" s="11" t="s">
        <v>600</v>
      </c>
      <c r="J3" s="11" t="s">
        <v>601</v>
      </c>
    </row>
    <row r="4">
      <c r="B4" s="11" t="s">
        <v>592</v>
      </c>
      <c r="C4" s="11" t="s">
        <v>361</v>
      </c>
      <c r="D4" s="11" t="s">
        <v>381</v>
      </c>
      <c r="G4" s="11" t="s">
        <v>592</v>
      </c>
      <c r="H4" s="11" t="s">
        <v>361</v>
      </c>
      <c r="I4" s="11" t="s">
        <v>381</v>
      </c>
      <c r="J4" s="11" t="s">
        <v>603</v>
      </c>
      <c r="N4" s="11" t="s">
        <v>604</v>
      </c>
      <c r="Q4" s="11" t="s">
        <v>508</v>
      </c>
      <c r="R4" s="11" t="s">
        <v>605</v>
      </c>
      <c r="S4" s="11" t="s">
        <v>570</v>
      </c>
      <c r="T4" s="11" t="s">
        <v>509</v>
      </c>
    </row>
    <row r="5">
      <c r="A5" s="11" t="s">
        <v>606</v>
      </c>
      <c r="B5" s="11" t="s">
        <v>607</v>
      </c>
      <c r="C5" s="11" t="s">
        <v>607</v>
      </c>
      <c r="D5" s="11" t="s">
        <v>609</v>
      </c>
      <c r="F5" s="11" t="s">
        <v>606</v>
      </c>
      <c r="G5" s="11" t="s">
        <v>610</v>
      </c>
      <c r="H5" s="11" t="s">
        <v>610</v>
      </c>
      <c r="I5" s="11" t="s">
        <v>611</v>
      </c>
      <c r="J5" s="11" t="s">
        <v>612</v>
      </c>
      <c r="N5" s="11" t="s">
        <v>156</v>
      </c>
      <c r="Q5" s="11" t="s">
        <v>613</v>
      </c>
      <c r="R5" s="11" t="s">
        <v>564</v>
      </c>
      <c r="S5" s="11" t="s">
        <v>614</v>
      </c>
      <c r="T5" s="11" t="s">
        <v>615</v>
      </c>
    </row>
    <row r="6">
      <c r="A6" s="11" t="s">
        <v>362</v>
      </c>
      <c r="B6" s="11" t="s">
        <v>616</v>
      </c>
      <c r="C6" s="11" t="s">
        <v>616</v>
      </c>
      <c r="D6" s="11" t="s">
        <v>617</v>
      </c>
      <c r="F6" s="11" t="s">
        <v>362</v>
      </c>
      <c r="G6" s="11" t="s">
        <v>610</v>
      </c>
      <c r="H6" s="11" t="s">
        <v>610</v>
      </c>
      <c r="I6" s="11" t="s">
        <v>611</v>
      </c>
      <c r="Q6" s="11" t="s">
        <v>619</v>
      </c>
      <c r="R6" s="11" t="s">
        <v>620</v>
      </c>
      <c r="T6" s="11" t="s">
        <v>621</v>
      </c>
    </row>
    <row r="7">
      <c r="A7" s="11" t="s">
        <v>622</v>
      </c>
      <c r="B7" s="11" t="s">
        <v>623</v>
      </c>
      <c r="C7" s="11" t="s">
        <v>623</v>
      </c>
      <c r="D7" s="11" t="s">
        <v>624</v>
      </c>
      <c r="F7" s="11" t="s">
        <v>622</v>
      </c>
      <c r="G7" s="11" t="s">
        <v>610</v>
      </c>
      <c r="H7" s="11" t="s">
        <v>610</v>
      </c>
      <c r="I7" s="11" t="s">
        <v>611</v>
      </c>
      <c r="Q7" s="11" t="s">
        <v>582</v>
      </c>
      <c r="R7" s="11" t="s">
        <v>506</v>
      </c>
      <c r="T7" s="11" t="s">
        <v>582</v>
      </c>
    </row>
    <row r="8">
      <c r="A8" s="11" t="s">
        <v>626</v>
      </c>
      <c r="B8" s="11" t="s">
        <v>627</v>
      </c>
      <c r="C8" s="11" t="s">
        <v>627</v>
      </c>
      <c r="D8" s="11" t="s">
        <v>628</v>
      </c>
      <c r="F8" s="11" t="s">
        <v>626</v>
      </c>
      <c r="G8" s="11" t="s">
        <v>610</v>
      </c>
      <c r="H8" s="11" t="s">
        <v>610</v>
      </c>
      <c r="I8" s="11" t="s">
        <v>611</v>
      </c>
      <c r="T8" s="11" t="s">
        <v>629</v>
      </c>
    </row>
    <row r="9">
      <c r="A9" s="11" t="s">
        <v>630</v>
      </c>
      <c r="B9" s="11" t="s">
        <v>631</v>
      </c>
      <c r="C9" s="11" t="s">
        <v>631</v>
      </c>
      <c r="D9" s="11" t="s">
        <v>628</v>
      </c>
      <c r="F9" s="11" t="s">
        <v>630</v>
      </c>
      <c r="G9" s="11" t="s">
        <v>610</v>
      </c>
      <c r="H9" s="11" t="s">
        <v>610</v>
      </c>
      <c r="I9" s="11" t="s">
        <v>611</v>
      </c>
    </row>
    <row r="10">
      <c r="A10" s="11" t="s">
        <v>636</v>
      </c>
      <c r="B10" s="11" t="s">
        <v>623</v>
      </c>
      <c r="C10" s="11" t="s">
        <v>623</v>
      </c>
      <c r="D10" s="11" t="s">
        <v>617</v>
      </c>
      <c r="F10" s="11" t="s">
        <v>636</v>
      </c>
      <c r="G10" s="11" t="s">
        <v>610</v>
      </c>
      <c r="H10" s="11" t="s">
        <v>610</v>
      </c>
      <c r="I10" s="11" t="s">
        <v>611</v>
      </c>
    </row>
    <row r="11">
      <c r="A11" s="11" t="s">
        <v>638</v>
      </c>
      <c r="B11" s="11" t="s">
        <v>639</v>
      </c>
      <c r="C11" s="11" t="s">
        <v>640</v>
      </c>
      <c r="D11" s="11" t="s">
        <v>639</v>
      </c>
      <c r="F11" s="11" t="s">
        <v>638</v>
      </c>
      <c r="G11" s="11" t="s">
        <v>610</v>
      </c>
      <c r="H11" s="11" t="s">
        <v>610</v>
      </c>
      <c r="I11" s="11" t="s">
        <v>611</v>
      </c>
    </row>
    <row r="12">
      <c r="N12" s="11" t="s">
        <v>641</v>
      </c>
      <c r="O12" s="11" t="s">
        <v>642</v>
      </c>
    </row>
    <row r="13">
      <c r="B13" s="11" t="s">
        <v>592</v>
      </c>
      <c r="C13" s="11" t="s">
        <v>361</v>
      </c>
      <c r="D13" s="11" t="s">
        <v>381</v>
      </c>
      <c r="G13" s="11" t="s">
        <v>592</v>
      </c>
      <c r="H13" s="11" t="s">
        <v>361</v>
      </c>
      <c r="I13" s="11" t="s">
        <v>381</v>
      </c>
      <c r="M13" s="11" t="s">
        <v>284</v>
      </c>
      <c r="N13" s="379">
        <v>0.53</v>
      </c>
      <c r="O13" s="379">
        <v>0.55</v>
      </c>
    </row>
    <row r="14">
      <c r="A14" s="11" t="s">
        <v>606</v>
      </c>
      <c r="B14" s="11">
        <v>0.36</v>
      </c>
      <c r="C14" s="11">
        <v>0.36</v>
      </c>
      <c r="D14" s="11" t="s">
        <v>645</v>
      </c>
      <c r="F14" s="11" t="s">
        <v>606</v>
      </c>
      <c r="G14" s="11">
        <v>0.39</v>
      </c>
      <c r="H14" s="11">
        <v>0.39</v>
      </c>
      <c r="I14" s="11" t="s">
        <v>645</v>
      </c>
      <c r="M14" s="11" t="s">
        <v>286</v>
      </c>
      <c r="N14" s="379">
        <v>0.53</v>
      </c>
      <c r="O14" s="379">
        <v>0.55</v>
      </c>
    </row>
    <row r="15">
      <c r="A15" s="11" t="s">
        <v>362</v>
      </c>
      <c r="B15" s="11">
        <v>0.36</v>
      </c>
      <c r="C15" s="11">
        <v>0.36</v>
      </c>
      <c r="D15" s="11" t="s">
        <v>645</v>
      </c>
      <c r="F15" s="11" t="s">
        <v>362</v>
      </c>
      <c r="G15" s="11">
        <v>0.39</v>
      </c>
      <c r="H15" s="11">
        <v>0.39</v>
      </c>
      <c r="I15" s="11" t="s">
        <v>645</v>
      </c>
      <c r="M15" s="11" t="s">
        <v>647</v>
      </c>
      <c r="N15" s="379">
        <v>0.54</v>
      </c>
      <c r="O15" s="379">
        <v>0.56</v>
      </c>
    </row>
    <row r="16">
      <c r="A16" s="11" t="s">
        <v>622</v>
      </c>
      <c r="B16" s="11">
        <v>0.36</v>
      </c>
      <c r="C16" s="11">
        <v>0.36</v>
      </c>
      <c r="D16" s="11" t="s">
        <v>645</v>
      </c>
      <c r="F16" s="11" t="s">
        <v>622</v>
      </c>
      <c r="G16" s="11">
        <v>0.39</v>
      </c>
      <c r="H16" s="11">
        <v>0.39</v>
      </c>
      <c r="I16" s="11" t="s">
        <v>645</v>
      </c>
      <c r="M16" s="11" t="s">
        <v>289</v>
      </c>
      <c r="N16" s="379">
        <v>0.62</v>
      </c>
      <c r="O16" s="379">
        <v>0.62</v>
      </c>
    </row>
    <row r="17">
      <c r="A17" s="11" t="s">
        <v>626</v>
      </c>
      <c r="B17" s="11">
        <v>0.36</v>
      </c>
      <c r="C17" s="11">
        <v>0.36</v>
      </c>
      <c r="D17" s="11" t="s">
        <v>645</v>
      </c>
      <c r="F17" s="11" t="s">
        <v>626</v>
      </c>
      <c r="G17" s="11">
        <v>0.39</v>
      </c>
      <c r="H17" s="11">
        <v>0.39</v>
      </c>
      <c r="I17" s="11" t="s">
        <v>645</v>
      </c>
      <c r="M17" s="11" t="s">
        <v>239</v>
      </c>
      <c r="N17" s="379">
        <v>0.67</v>
      </c>
      <c r="O17" s="379">
        <v>0.68</v>
      </c>
    </row>
    <row r="18">
      <c r="A18" s="11" t="s">
        <v>630</v>
      </c>
      <c r="B18" s="11">
        <v>0.36</v>
      </c>
      <c r="C18" s="11">
        <v>0.36</v>
      </c>
      <c r="D18" s="11" t="s">
        <v>645</v>
      </c>
      <c r="F18" s="11" t="s">
        <v>630</v>
      </c>
      <c r="G18" s="11">
        <v>0.39</v>
      </c>
      <c r="H18" s="11">
        <v>0.39</v>
      </c>
      <c r="I18" s="11" t="s">
        <v>645</v>
      </c>
      <c r="M18" s="11" t="s">
        <v>290</v>
      </c>
      <c r="N18" s="379">
        <v>0.54</v>
      </c>
      <c r="O18" s="379">
        <v>0.55</v>
      </c>
    </row>
    <row r="19">
      <c r="A19" s="11" t="s">
        <v>636</v>
      </c>
      <c r="B19" s="11">
        <v>0.36</v>
      </c>
      <c r="C19" s="11">
        <v>0.36</v>
      </c>
      <c r="D19" s="11" t="s">
        <v>645</v>
      </c>
      <c r="F19" s="11" t="s">
        <v>636</v>
      </c>
      <c r="G19" s="11">
        <v>0.39</v>
      </c>
      <c r="H19" s="11">
        <v>0.39</v>
      </c>
      <c r="I19" s="11" t="s">
        <v>645</v>
      </c>
      <c r="M19" s="11" t="s">
        <v>291</v>
      </c>
      <c r="N19" s="379">
        <v>0.56</v>
      </c>
      <c r="O19" s="379">
        <v>0.63</v>
      </c>
    </row>
    <row r="20">
      <c r="A20" s="11" t="s">
        <v>638</v>
      </c>
      <c r="B20" s="11">
        <v>0.36</v>
      </c>
      <c r="C20" s="11">
        <v>0.36</v>
      </c>
      <c r="D20" s="11" t="s">
        <v>645</v>
      </c>
      <c r="F20" s="11" t="s">
        <v>638</v>
      </c>
      <c r="G20" s="11">
        <v>0.39</v>
      </c>
      <c r="H20" s="11">
        <v>0.39</v>
      </c>
      <c r="I20" s="11" t="s">
        <v>645</v>
      </c>
      <c r="M20" s="11" t="s">
        <v>292</v>
      </c>
      <c r="N20" s="379">
        <v>0.45</v>
      </c>
      <c r="O20" s="379">
        <v>0.45</v>
      </c>
    </row>
    <row r="21" ht="15.75" customHeight="1">
      <c r="M21" s="11" t="s">
        <v>293</v>
      </c>
      <c r="N21" s="379">
        <v>0.45</v>
      </c>
      <c r="O21" s="379">
        <v>0.45</v>
      </c>
    </row>
    <row r="22" ht="15.75" customHeight="1">
      <c r="A22" s="11" t="s">
        <v>654</v>
      </c>
      <c r="B22" s="11" t="s">
        <v>592</v>
      </c>
      <c r="C22" s="11" t="s">
        <v>361</v>
      </c>
      <c r="D22" s="11" t="s">
        <v>381</v>
      </c>
      <c r="F22" s="11" t="s">
        <v>654</v>
      </c>
      <c r="G22" s="11" t="s">
        <v>592</v>
      </c>
      <c r="H22" s="11" t="s">
        <v>361</v>
      </c>
      <c r="I22" s="11" t="s">
        <v>381</v>
      </c>
      <c r="M22" s="11" t="s">
        <v>294</v>
      </c>
      <c r="N22" s="379">
        <v>0.42</v>
      </c>
      <c r="O22" s="379">
        <v>0.44</v>
      </c>
    </row>
    <row r="23" ht="15.75" customHeight="1">
      <c r="A23" s="11" t="s">
        <v>655</v>
      </c>
      <c r="B23" s="11" t="s">
        <v>657</v>
      </c>
      <c r="C23" s="11" t="s">
        <v>657</v>
      </c>
      <c r="D23" s="11" t="s">
        <v>658</v>
      </c>
      <c r="F23" s="11" t="s">
        <v>659</v>
      </c>
      <c r="G23" s="11" t="s">
        <v>660</v>
      </c>
      <c r="H23" s="11" t="s">
        <v>661</v>
      </c>
      <c r="I23" s="11" t="s">
        <v>662</v>
      </c>
      <c r="M23" s="11" t="s">
        <v>663</v>
      </c>
    </row>
    <row r="24" ht="15.75" customHeight="1">
      <c r="A24" s="11" t="s">
        <v>665</v>
      </c>
      <c r="B24" s="11" t="s">
        <v>657</v>
      </c>
      <c r="C24" s="11" t="s">
        <v>657</v>
      </c>
      <c r="D24" s="11" t="s">
        <v>658</v>
      </c>
      <c r="F24" s="11" t="s">
        <v>666</v>
      </c>
      <c r="G24" s="11" t="s">
        <v>660</v>
      </c>
      <c r="H24" s="11" t="s">
        <v>661</v>
      </c>
      <c r="I24" s="11" t="s">
        <v>662</v>
      </c>
    </row>
    <row r="25" ht="15.75" customHeight="1"/>
    <row r="26" ht="15.75" customHeight="1">
      <c r="A26" s="11" t="s">
        <v>654</v>
      </c>
      <c r="B26" s="11" t="s">
        <v>592</v>
      </c>
      <c r="C26" s="11" t="s">
        <v>361</v>
      </c>
      <c r="D26" s="11" t="s">
        <v>381</v>
      </c>
      <c r="F26" s="11" t="s">
        <v>654</v>
      </c>
      <c r="G26" s="11" t="s">
        <v>592</v>
      </c>
      <c r="H26" s="11" t="s">
        <v>361</v>
      </c>
      <c r="I26" s="11" t="s">
        <v>381</v>
      </c>
    </row>
    <row r="27" ht="15.75" customHeight="1">
      <c r="A27" s="11" t="s">
        <v>655</v>
      </c>
      <c r="B27" s="11">
        <v>0.38</v>
      </c>
      <c r="C27" s="11">
        <v>0.38</v>
      </c>
      <c r="D27" s="11" t="s">
        <v>645</v>
      </c>
      <c r="F27" s="11" t="s">
        <v>659</v>
      </c>
      <c r="G27" s="11">
        <v>0.49</v>
      </c>
      <c r="H27" s="11">
        <v>0.36</v>
      </c>
      <c r="I27" s="11" t="s">
        <v>645</v>
      </c>
    </row>
    <row r="28" ht="15.75" customHeight="1">
      <c r="A28" s="11" t="s">
        <v>665</v>
      </c>
      <c r="B28" s="11">
        <v>0.38</v>
      </c>
      <c r="C28" s="11">
        <v>0.38</v>
      </c>
      <c r="D28" s="11" t="s">
        <v>645</v>
      </c>
      <c r="F28" s="11" t="s">
        <v>666</v>
      </c>
      <c r="G28" s="11">
        <v>0.39</v>
      </c>
      <c r="H28" s="11">
        <v>0.19</v>
      </c>
      <c r="I28" s="11" t="s">
        <v>645</v>
      </c>
      <c r="M28" s="11" t="s">
        <v>670</v>
      </c>
      <c r="N28" s="4">
        <v>7.0</v>
      </c>
    </row>
    <row r="29" ht="15.75" customHeight="1">
      <c r="M29" s="11" t="s">
        <v>671</v>
      </c>
      <c r="N29" s="4">
        <v>21.0</v>
      </c>
    </row>
    <row r="30" ht="15.75" customHeight="1">
      <c r="B30" s="11" t="s">
        <v>592</v>
      </c>
      <c r="C30" s="11" t="s">
        <v>361</v>
      </c>
      <c r="D30" s="11" t="s">
        <v>381</v>
      </c>
      <c r="G30" s="11" t="s">
        <v>592</v>
      </c>
      <c r="H30" s="11" t="s">
        <v>361</v>
      </c>
      <c r="I30" s="11" t="s">
        <v>381</v>
      </c>
      <c r="M30" s="11" t="s">
        <v>672</v>
      </c>
      <c r="N30" s="4">
        <v>27.0</v>
      </c>
    </row>
    <row r="31" ht="15.75" customHeight="1">
      <c r="A31" s="11" t="s">
        <v>370</v>
      </c>
      <c r="B31" s="11" t="s">
        <v>673</v>
      </c>
      <c r="C31" s="11" t="s">
        <v>673</v>
      </c>
      <c r="D31" s="11" t="s">
        <v>674</v>
      </c>
      <c r="F31" s="11" t="s">
        <v>370</v>
      </c>
      <c r="G31" s="11" t="s">
        <v>676</v>
      </c>
      <c r="H31" s="11" t="s">
        <v>676</v>
      </c>
      <c r="I31" s="11" t="s">
        <v>677</v>
      </c>
      <c r="M31" s="11" t="s">
        <v>678</v>
      </c>
      <c r="N31" s="4">
        <v>24.0</v>
      </c>
    </row>
    <row r="32" ht="15.75" customHeight="1">
      <c r="A32" s="11" t="s">
        <v>679</v>
      </c>
      <c r="B32" s="11" t="s">
        <v>680</v>
      </c>
      <c r="C32" s="11" t="s">
        <v>680</v>
      </c>
      <c r="D32" s="11" t="s">
        <v>681</v>
      </c>
      <c r="F32" s="11" t="s">
        <v>679</v>
      </c>
      <c r="G32" s="1" t="s">
        <v>682</v>
      </c>
      <c r="H32" s="1" t="s">
        <v>682</v>
      </c>
      <c r="I32" s="1" t="s">
        <v>682</v>
      </c>
      <c r="M32" s="11" t="s">
        <v>683</v>
      </c>
      <c r="N32" s="4">
        <v>34.0</v>
      </c>
    </row>
    <row r="33" ht="15.75" customHeight="1">
      <c r="A33" s="11" t="s">
        <v>684</v>
      </c>
      <c r="B33" s="11" t="s">
        <v>685</v>
      </c>
      <c r="C33" s="11" t="s">
        <v>685</v>
      </c>
      <c r="D33" s="11" t="s">
        <v>686</v>
      </c>
      <c r="F33" s="11" t="s">
        <v>684</v>
      </c>
      <c r="G33" s="1" t="s">
        <v>682</v>
      </c>
      <c r="H33" s="1" t="s">
        <v>682</v>
      </c>
      <c r="I33" s="1" t="s">
        <v>682</v>
      </c>
      <c r="M33" s="11" t="s">
        <v>239</v>
      </c>
      <c r="N33" s="4"/>
    </row>
    <row r="34" ht="15.75" customHeight="1">
      <c r="B34" s="11" t="s">
        <v>592</v>
      </c>
      <c r="C34" s="11" t="s">
        <v>361</v>
      </c>
      <c r="D34" s="11" t="s">
        <v>381</v>
      </c>
      <c r="G34" s="11" t="s">
        <v>592</v>
      </c>
      <c r="H34" s="11" t="s">
        <v>361</v>
      </c>
      <c r="I34" s="11" t="s">
        <v>381</v>
      </c>
      <c r="M34" s="11" t="s">
        <v>687</v>
      </c>
      <c r="N34" s="4">
        <v>19.0</v>
      </c>
    </row>
    <row r="35" ht="15.75" customHeight="1">
      <c r="A35" s="11" t="s">
        <v>688</v>
      </c>
      <c r="B35" s="11" t="s">
        <v>689</v>
      </c>
      <c r="C35" s="11" t="s">
        <v>690</v>
      </c>
      <c r="D35" s="11" t="s">
        <v>691</v>
      </c>
      <c r="F35" s="11" t="s">
        <v>688</v>
      </c>
      <c r="G35" s="1" t="s">
        <v>682</v>
      </c>
      <c r="H35" s="1" t="s">
        <v>682</v>
      </c>
      <c r="I35" s="1" t="s">
        <v>682</v>
      </c>
      <c r="M35" s="11" t="s">
        <v>692</v>
      </c>
      <c r="N35" s="4">
        <v>40.0</v>
      </c>
    </row>
    <row r="36" ht="15.75" customHeight="1">
      <c r="A36" s="11" t="s">
        <v>679</v>
      </c>
      <c r="B36" s="11" t="s">
        <v>694</v>
      </c>
      <c r="C36" s="11" t="s">
        <v>694</v>
      </c>
      <c r="D36" s="11" t="s">
        <v>696</v>
      </c>
      <c r="F36" s="11" t="s">
        <v>679</v>
      </c>
      <c r="G36" s="1" t="s">
        <v>682</v>
      </c>
      <c r="H36" s="1" t="s">
        <v>682</v>
      </c>
      <c r="I36" s="1" t="s">
        <v>682</v>
      </c>
      <c r="M36" s="11" t="s">
        <v>697</v>
      </c>
      <c r="N36" s="4">
        <v>31.0</v>
      </c>
    </row>
    <row r="37" ht="15.75" customHeight="1">
      <c r="A37" s="11" t="s">
        <v>378</v>
      </c>
      <c r="B37" s="11" t="s">
        <v>698</v>
      </c>
      <c r="C37" s="11" t="s">
        <v>698</v>
      </c>
      <c r="D37" s="11" t="s">
        <v>699</v>
      </c>
      <c r="F37" s="11" t="s">
        <v>378</v>
      </c>
      <c r="G37" s="11" t="s">
        <v>699</v>
      </c>
      <c r="H37" s="11" t="s">
        <v>700</v>
      </c>
      <c r="I37" s="11" t="s">
        <v>699</v>
      </c>
      <c r="M37" s="11" t="s">
        <v>278</v>
      </c>
      <c r="N37" s="4"/>
    </row>
    <row r="38" ht="15.75" customHeight="1">
      <c r="A38" s="11" t="s">
        <v>701</v>
      </c>
      <c r="B38" s="11" t="s">
        <v>698</v>
      </c>
      <c r="C38" s="11" t="s">
        <v>698</v>
      </c>
      <c r="D38" s="11" t="s">
        <v>702</v>
      </c>
      <c r="F38" s="11" t="s">
        <v>701</v>
      </c>
      <c r="G38" s="1" t="s">
        <v>682</v>
      </c>
      <c r="H38" s="1" t="s">
        <v>682</v>
      </c>
      <c r="I38" s="1" t="s">
        <v>682</v>
      </c>
      <c r="M38" s="11" t="s">
        <v>703</v>
      </c>
      <c r="N38" s="4">
        <v>24.0</v>
      </c>
    </row>
    <row r="39" ht="15.75" customHeight="1">
      <c r="B39" s="11" t="s">
        <v>592</v>
      </c>
      <c r="C39" s="11" t="s">
        <v>361</v>
      </c>
      <c r="D39" s="11" t="s">
        <v>381</v>
      </c>
      <c r="G39" s="11" t="s">
        <v>592</v>
      </c>
      <c r="H39" s="11" t="s">
        <v>361</v>
      </c>
      <c r="I39" s="11" t="s">
        <v>381</v>
      </c>
      <c r="M39" s="11" t="s">
        <v>704</v>
      </c>
      <c r="N39" s="4">
        <v>34.0</v>
      </c>
    </row>
    <row r="40" ht="15.75" customHeight="1">
      <c r="A40" s="11" t="s">
        <v>382</v>
      </c>
      <c r="B40" s="11" t="s">
        <v>705</v>
      </c>
      <c r="C40" s="11" t="s">
        <v>706</v>
      </c>
      <c r="D40" s="11" t="s">
        <v>707</v>
      </c>
      <c r="F40" s="11" t="s">
        <v>382</v>
      </c>
      <c r="G40" s="11" t="s">
        <v>707</v>
      </c>
      <c r="H40" s="11" t="s">
        <v>707</v>
      </c>
      <c r="I40" s="11" t="s">
        <v>707</v>
      </c>
      <c r="M40" s="11" t="s">
        <v>709</v>
      </c>
      <c r="N40" s="4">
        <v>20.0</v>
      </c>
    </row>
    <row r="41" ht="15.75" customHeight="1">
      <c r="B41" s="11" t="s">
        <v>592</v>
      </c>
      <c r="C41" s="11" t="s">
        <v>361</v>
      </c>
      <c r="D41" s="11" t="s">
        <v>381</v>
      </c>
      <c r="G41" s="11" t="s">
        <v>592</v>
      </c>
      <c r="H41" s="11" t="s">
        <v>361</v>
      </c>
      <c r="I41" s="11" t="s">
        <v>381</v>
      </c>
      <c r="M41" s="11" t="s">
        <v>710</v>
      </c>
      <c r="N41" s="4">
        <v>11.0</v>
      </c>
    </row>
    <row r="42" ht="15.75" customHeight="1">
      <c r="A42" s="11" t="s">
        <v>688</v>
      </c>
      <c r="B42" s="11" t="s">
        <v>711</v>
      </c>
      <c r="C42" s="11" t="s">
        <v>712</v>
      </c>
      <c r="D42" s="11" t="s">
        <v>713</v>
      </c>
      <c r="F42" s="11" t="s">
        <v>688</v>
      </c>
      <c r="G42" s="1" t="s">
        <v>682</v>
      </c>
      <c r="H42" s="1" t="s">
        <v>682</v>
      </c>
      <c r="I42" s="1" t="s">
        <v>682</v>
      </c>
      <c r="M42" s="11" t="s">
        <v>714</v>
      </c>
      <c r="N42" s="4">
        <v>22.0</v>
      </c>
    </row>
    <row r="43" ht="15.75" customHeight="1">
      <c r="A43" s="11" t="s">
        <v>715</v>
      </c>
      <c r="B43" s="11" t="s">
        <v>716</v>
      </c>
      <c r="C43" s="11" t="s">
        <v>716</v>
      </c>
      <c r="D43" s="11" t="s">
        <v>717</v>
      </c>
      <c r="F43" s="11" t="s">
        <v>715</v>
      </c>
      <c r="G43" s="11" t="s">
        <v>717</v>
      </c>
      <c r="H43" s="11" t="s">
        <v>719</v>
      </c>
      <c r="I43" s="11" t="s">
        <v>720</v>
      </c>
      <c r="M43" s="11" t="s">
        <v>721</v>
      </c>
      <c r="N43" s="4">
        <v>22.0</v>
      </c>
    </row>
    <row r="44" ht="15.75" customHeight="1">
      <c r="A44" s="11" t="s">
        <v>701</v>
      </c>
      <c r="B44" s="11" t="s">
        <v>716</v>
      </c>
      <c r="C44" s="11" t="s">
        <v>716</v>
      </c>
      <c r="D44" s="11" t="s">
        <v>712</v>
      </c>
      <c r="F44" s="11" t="s">
        <v>701</v>
      </c>
      <c r="G44" s="1" t="s">
        <v>682</v>
      </c>
      <c r="H44" s="1" t="s">
        <v>682</v>
      </c>
      <c r="I44" s="1" t="s">
        <v>682</v>
      </c>
      <c r="M44" s="11" t="s">
        <v>723</v>
      </c>
      <c r="N44" s="4">
        <v>6.0</v>
      </c>
    </row>
    <row r="45" ht="15.75" customHeight="1">
      <c r="B45" s="11" t="s">
        <v>592</v>
      </c>
      <c r="C45" s="11" t="s">
        <v>361</v>
      </c>
      <c r="D45" s="11" t="s">
        <v>381</v>
      </c>
      <c r="G45" s="11" t="s">
        <v>592</v>
      </c>
      <c r="H45" s="11" t="s">
        <v>361</v>
      </c>
      <c r="I45" s="11" t="s">
        <v>381</v>
      </c>
      <c r="N45" s="4"/>
    </row>
    <row r="46" ht="15.75" customHeight="1">
      <c r="A46" s="11" t="s">
        <v>386</v>
      </c>
      <c r="B46" s="11" t="s">
        <v>724</v>
      </c>
      <c r="C46" s="11" t="s">
        <v>724</v>
      </c>
      <c r="D46" s="11" t="s">
        <v>725</v>
      </c>
      <c r="F46" s="11" t="s">
        <v>386</v>
      </c>
      <c r="G46" s="11" t="s">
        <v>724</v>
      </c>
      <c r="H46" s="11" t="s">
        <v>725</v>
      </c>
      <c r="I46" s="11" t="s">
        <v>726</v>
      </c>
      <c r="N46" s="4"/>
    </row>
    <row r="47" ht="15.75" customHeight="1">
      <c r="A47" s="11" t="s">
        <v>727</v>
      </c>
      <c r="B47" s="11" t="s">
        <v>728</v>
      </c>
      <c r="C47" s="11" t="s">
        <v>728</v>
      </c>
      <c r="D47" s="11" t="s">
        <v>729</v>
      </c>
      <c r="F47" s="11" t="s">
        <v>727</v>
      </c>
      <c r="G47" s="1" t="s">
        <v>682</v>
      </c>
      <c r="H47" s="1" t="s">
        <v>682</v>
      </c>
      <c r="I47" s="1" t="s">
        <v>682</v>
      </c>
      <c r="N47" s="4"/>
    </row>
    <row r="48" ht="15.75" customHeight="1">
      <c r="B48" s="11" t="s">
        <v>592</v>
      </c>
      <c r="C48" s="11" t="s">
        <v>361</v>
      </c>
      <c r="D48" s="11" t="s">
        <v>381</v>
      </c>
      <c r="G48" s="11" t="s">
        <v>592</v>
      </c>
      <c r="H48" s="11" t="s">
        <v>361</v>
      </c>
      <c r="I48" s="11" t="s">
        <v>381</v>
      </c>
      <c r="N48" s="4"/>
    </row>
    <row r="49" ht="15.75" customHeight="1">
      <c r="A49" s="11" t="s">
        <v>389</v>
      </c>
      <c r="B49" s="11" t="s">
        <v>732</v>
      </c>
      <c r="C49" s="11" t="s">
        <v>732</v>
      </c>
      <c r="D49" s="11" t="s">
        <v>732</v>
      </c>
      <c r="F49" s="11" t="s">
        <v>389</v>
      </c>
      <c r="G49" s="11" t="s">
        <v>733</v>
      </c>
      <c r="H49" s="11" t="s">
        <v>733</v>
      </c>
      <c r="I49" s="11" t="s">
        <v>733</v>
      </c>
      <c r="N49" s="4"/>
    </row>
    <row r="50" ht="15.75" customHeight="1">
      <c r="A50" s="11" t="s">
        <v>734</v>
      </c>
      <c r="B50" s="11" t="s">
        <v>735</v>
      </c>
      <c r="C50" s="11" t="s">
        <v>735</v>
      </c>
      <c r="D50" s="11" t="s">
        <v>736</v>
      </c>
      <c r="F50" s="11" t="s">
        <v>734</v>
      </c>
      <c r="G50" s="11" t="s">
        <v>737</v>
      </c>
      <c r="H50" s="11" t="s">
        <v>738</v>
      </c>
      <c r="I50" s="11" t="s">
        <v>737</v>
      </c>
      <c r="N50" s="4"/>
    </row>
    <row r="51" ht="15.75" customHeight="1"/>
    <row r="52" ht="15.75" customHeight="1"/>
    <row r="53" ht="15.75" customHeight="1">
      <c r="G53" s="11" t="s">
        <v>739</v>
      </c>
    </row>
    <row r="54" ht="15.75" customHeight="1">
      <c r="A54" s="11" t="s">
        <v>740</v>
      </c>
      <c r="B54" s="11" t="s">
        <v>741</v>
      </c>
    </row>
    <row r="55" ht="15.75" customHeight="1">
      <c r="A55" s="11" t="s">
        <v>742</v>
      </c>
      <c r="B55" s="11" t="s">
        <v>743</v>
      </c>
      <c r="G55" s="11" t="s">
        <v>744</v>
      </c>
    </row>
    <row r="56" ht="15.75" customHeight="1">
      <c r="A56" s="11" t="s">
        <v>745</v>
      </c>
      <c r="B56" s="11" t="s">
        <v>584</v>
      </c>
      <c r="G56" s="11" t="s">
        <v>746</v>
      </c>
      <c r="H56" s="11" t="s">
        <v>747</v>
      </c>
      <c r="I56" s="11" t="s">
        <v>748</v>
      </c>
    </row>
    <row r="57" ht="15.75" customHeight="1">
      <c r="A57" s="11" t="s">
        <v>749</v>
      </c>
      <c r="B57" s="11" t="s">
        <v>741</v>
      </c>
      <c r="G57" s="11" t="s">
        <v>750</v>
      </c>
      <c r="H57" s="11" t="s">
        <v>751</v>
      </c>
      <c r="I57" s="11" t="s">
        <v>752</v>
      </c>
    </row>
    <row r="58" ht="15.75" customHeight="1">
      <c r="A58" s="11" t="s">
        <v>753</v>
      </c>
      <c r="B58" s="11" t="s">
        <v>741</v>
      </c>
      <c r="H58" s="11" t="s">
        <v>754</v>
      </c>
      <c r="I58" s="11" t="s">
        <v>278</v>
      </c>
    </row>
    <row r="59" ht="15.75" customHeight="1">
      <c r="A59" s="11" t="s">
        <v>756</v>
      </c>
      <c r="B59" s="11" t="s">
        <v>741</v>
      </c>
      <c r="O59" s="290"/>
    </row>
    <row r="60" ht="15.75" customHeight="1">
      <c r="A60" s="11" t="s">
        <v>757</v>
      </c>
      <c r="B60" s="11" t="s">
        <v>584</v>
      </c>
      <c r="J60" s="11" t="s">
        <v>758</v>
      </c>
      <c r="R60" s="11" t="s">
        <v>760</v>
      </c>
    </row>
    <row r="61" ht="15.75" customHeight="1">
      <c r="A61" s="11" t="s">
        <v>761</v>
      </c>
      <c r="B61" s="11" t="s">
        <v>584</v>
      </c>
      <c r="G61" s="11" t="s">
        <v>762</v>
      </c>
      <c r="J61" s="381" t="s">
        <v>763</v>
      </c>
      <c r="K61" s="381" t="s">
        <v>764</v>
      </c>
      <c r="L61" s="381" t="s">
        <v>765</v>
      </c>
      <c r="M61" s="381" t="s">
        <v>766</v>
      </c>
      <c r="N61" s="381" t="s">
        <v>767</v>
      </c>
      <c r="O61" s="381" t="s">
        <v>507</v>
      </c>
      <c r="P61" s="381" t="s">
        <v>768</v>
      </c>
      <c r="R61" s="11" t="s">
        <v>770</v>
      </c>
    </row>
    <row r="62" ht="15.75" customHeight="1">
      <c r="A62" s="11" t="s">
        <v>771</v>
      </c>
      <c r="B62" s="11" t="s">
        <v>584</v>
      </c>
      <c r="G62" s="11" t="s">
        <v>772</v>
      </c>
      <c r="H62" s="11" t="s">
        <v>773</v>
      </c>
      <c r="J62" s="4" t="s">
        <v>774</v>
      </c>
      <c r="K62" s="4" t="s">
        <v>775</v>
      </c>
      <c r="L62" s="4" t="s">
        <v>776</v>
      </c>
      <c r="M62" s="4" t="s">
        <v>777</v>
      </c>
      <c r="N62" s="4" t="s">
        <v>778</v>
      </c>
      <c r="O62" s="11" t="s">
        <v>779</v>
      </c>
      <c r="P62" s="4" t="s">
        <v>780</v>
      </c>
      <c r="R62" s="11" t="s">
        <v>781</v>
      </c>
    </row>
    <row r="63" ht="15.75" customHeight="1">
      <c r="A63" s="11" t="s">
        <v>782</v>
      </c>
      <c r="B63" s="11" t="s">
        <v>743</v>
      </c>
      <c r="G63" s="11" t="s">
        <v>783</v>
      </c>
      <c r="H63" s="11" t="s">
        <v>784</v>
      </c>
      <c r="J63" s="4" t="s">
        <v>785</v>
      </c>
      <c r="K63" s="4" t="s">
        <v>786</v>
      </c>
      <c r="L63" s="4" t="s">
        <v>776</v>
      </c>
      <c r="M63" s="4" t="s">
        <v>787</v>
      </c>
      <c r="N63" s="4" t="s">
        <v>778</v>
      </c>
      <c r="O63" s="11" t="s">
        <v>788</v>
      </c>
      <c r="P63" s="11" t="s">
        <v>789</v>
      </c>
      <c r="R63" s="11" t="s">
        <v>790</v>
      </c>
    </row>
    <row r="64" ht="15.75" customHeight="1">
      <c r="A64" s="11" t="s">
        <v>791</v>
      </c>
      <c r="B64" s="11" t="s">
        <v>584</v>
      </c>
      <c r="G64" s="11" t="s">
        <v>792</v>
      </c>
      <c r="H64" s="11" t="s">
        <v>793</v>
      </c>
      <c r="J64" s="4" t="s">
        <v>794</v>
      </c>
      <c r="K64" s="4" t="s">
        <v>795</v>
      </c>
      <c r="L64" s="4" t="s">
        <v>776</v>
      </c>
      <c r="M64" s="4" t="s">
        <v>777</v>
      </c>
      <c r="N64" s="4" t="s">
        <v>797</v>
      </c>
      <c r="O64" s="11" t="s">
        <v>798</v>
      </c>
      <c r="P64" s="11" t="s">
        <v>789</v>
      </c>
      <c r="R64" s="11" t="s">
        <v>799</v>
      </c>
    </row>
    <row r="65" ht="15.75" customHeight="1">
      <c r="G65" s="11" t="s">
        <v>800</v>
      </c>
      <c r="H65" s="11" t="s">
        <v>793</v>
      </c>
      <c r="J65" s="4" t="s">
        <v>801</v>
      </c>
      <c r="K65" s="4" t="s">
        <v>802</v>
      </c>
      <c r="L65" s="4" t="s">
        <v>741</v>
      </c>
      <c r="M65" s="4" t="s">
        <v>777</v>
      </c>
      <c r="N65" s="4" t="s">
        <v>778</v>
      </c>
      <c r="O65" s="11" t="s">
        <v>803</v>
      </c>
      <c r="P65" s="11" t="s">
        <v>789</v>
      </c>
      <c r="R65" s="11" t="s">
        <v>804</v>
      </c>
    </row>
    <row r="66" ht="15.75" customHeight="1">
      <c r="G66" s="11" t="s">
        <v>805</v>
      </c>
      <c r="H66" s="11" t="s">
        <v>806</v>
      </c>
      <c r="J66" s="4" t="s">
        <v>807</v>
      </c>
      <c r="K66" s="4" t="s">
        <v>808</v>
      </c>
      <c r="L66" s="4" t="s">
        <v>741</v>
      </c>
      <c r="M66" s="4" t="s">
        <v>787</v>
      </c>
      <c r="N66" s="4" t="s">
        <v>778</v>
      </c>
      <c r="O66" s="11" t="s">
        <v>788</v>
      </c>
      <c r="P66" s="11" t="s">
        <v>789</v>
      </c>
      <c r="R66" s="11" t="s">
        <v>809</v>
      </c>
    </row>
    <row r="67" ht="15.75" customHeight="1">
      <c r="G67" s="11" t="s">
        <v>810</v>
      </c>
      <c r="H67" s="11" t="s">
        <v>811</v>
      </c>
      <c r="J67" s="4" t="s">
        <v>812</v>
      </c>
      <c r="K67" s="4" t="s">
        <v>813</v>
      </c>
      <c r="L67" s="4" t="s">
        <v>776</v>
      </c>
      <c r="M67" s="4" t="s">
        <v>814</v>
      </c>
      <c r="N67" s="4" t="s">
        <v>797</v>
      </c>
      <c r="O67" s="11" t="s">
        <v>815</v>
      </c>
      <c r="P67" s="4" t="s">
        <v>816</v>
      </c>
    </row>
    <row r="68" ht="15.75" customHeight="1">
      <c r="G68" s="11" t="s">
        <v>817</v>
      </c>
      <c r="H68" s="11" t="s">
        <v>811</v>
      </c>
    </row>
    <row r="69" ht="15.75" customHeight="1">
      <c r="G69" s="11" t="s">
        <v>818</v>
      </c>
      <c r="H69" s="11" t="s">
        <v>819</v>
      </c>
    </row>
    <row r="70" ht="15.75" customHeight="1">
      <c r="G70" s="11" t="s">
        <v>821</v>
      </c>
      <c r="H70" s="11" t="s">
        <v>822</v>
      </c>
    </row>
    <row r="71" ht="15.75" customHeight="1">
      <c r="G71" s="11" t="s">
        <v>823</v>
      </c>
      <c r="H71" s="11" t="s">
        <v>822</v>
      </c>
    </row>
    <row r="72" ht="15.75" customHeight="1">
      <c r="A72" s="11" t="s">
        <v>824</v>
      </c>
      <c r="G72" s="11" t="s">
        <v>825</v>
      </c>
      <c r="H72" s="11" t="s">
        <v>826</v>
      </c>
    </row>
    <row r="73" ht="15.75" customHeight="1">
      <c r="A73" s="11" t="s">
        <v>827</v>
      </c>
      <c r="B73" s="11" t="s">
        <v>812</v>
      </c>
      <c r="C73" s="11" t="s">
        <v>828</v>
      </c>
      <c r="D73" s="11" t="s">
        <v>797</v>
      </c>
      <c r="G73" s="11" t="s">
        <v>829</v>
      </c>
      <c r="H73" s="11" t="s">
        <v>830</v>
      </c>
      <c r="J73" s="11" t="s">
        <v>831</v>
      </c>
    </row>
    <row r="74" ht="15.75" customHeight="1">
      <c r="A74" s="11" t="s">
        <v>832</v>
      </c>
      <c r="B74" s="11" t="s">
        <v>794</v>
      </c>
      <c r="C74" s="11" t="s">
        <v>828</v>
      </c>
      <c r="D74" s="11" t="s">
        <v>797</v>
      </c>
      <c r="G74" s="11" t="s">
        <v>833</v>
      </c>
      <c r="H74" s="11" t="s">
        <v>834</v>
      </c>
      <c r="J74" s="382" t="s">
        <v>835</v>
      </c>
      <c r="K74" s="383" t="s">
        <v>836</v>
      </c>
      <c r="L74" s="383" t="s">
        <v>837</v>
      </c>
      <c r="M74" s="384" t="s">
        <v>838</v>
      </c>
      <c r="N74" s="384" t="s">
        <v>839</v>
      </c>
      <c r="O74" s="384" t="s">
        <v>840</v>
      </c>
      <c r="P74" s="385" t="s">
        <v>841</v>
      </c>
      <c r="S74" s="386" t="s">
        <v>842</v>
      </c>
    </row>
    <row r="75" ht="15.75" customHeight="1">
      <c r="A75" s="11" t="s">
        <v>843</v>
      </c>
      <c r="B75" s="11" t="s">
        <v>801</v>
      </c>
      <c r="C75" s="11" t="s">
        <v>741</v>
      </c>
      <c r="D75" s="11" t="s">
        <v>778</v>
      </c>
      <c r="G75" s="11" t="s">
        <v>844</v>
      </c>
      <c r="H75" s="11" t="s">
        <v>845</v>
      </c>
      <c r="J75" s="387" t="s">
        <v>846</v>
      </c>
      <c r="K75" s="11" t="s">
        <v>757</v>
      </c>
      <c r="L75" s="4" t="s">
        <v>847</v>
      </c>
      <c r="M75" s="4" t="s">
        <v>848</v>
      </c>
      <c r="N75" s="4" t="s">
        <v>543</v>
      </c>
      <c r="O75" s="4" t="s">
        <v>849</v>
      </c>
      <c r="P75" s="308" t="s">
        <v>850</v>
      </c>
    </row>
    <row r="76" ht="15.75" customHeight="1">
      <c r="A76" s="11" t="s">
        <v>851</v>
      </c>
      <c r="B76" s="11" t="s">
        <v>807</v>
      </c>
      <c r="C76" s="11" t="s">
        <v>741</v>
      </c>
      <c r="D76" s="11" t="s">
        <v>778</v>
      </c>
      <c r="G76" s="11" t="s">
        <v>852</v>
      </c>
      <c r="H76" s="11" t="s">
        <v>830</v>
      </c>
      <c r="J76" s="387" t="s">
        <v>853</v>
      </c>
      <c r="K76" s="11" t="s">
        <v>740</v>
      </c>
      <c r="L76" s="4" t="s">
        <v>847</v>
      </c>
      <c r="M76" s="4" t="s">
        <v>848</v>
      </c>
      <c r="N76" s="4" t="s">
        <v>278</v>
      </c>
      <c r="O76" s="4" t="s">
        <v>849</v>
      </c>
      <c r="P76" s="308" t="s">
        <v>850</v>
      </c>
      <c r="S76" s="388" t="s">
        <v>854</v>
      </c>
      <c r="T76" s="389" t="s">
        <v>855</v>
      </c>
      <c r="U76" s="389" t="s">
        <v>856</v>
      </c>
      <c r="V76" s="389" t="s">
        <v>857</v>
      </c>
      <c r="W76" s="390" t="s">
        <v>764</v>
      </c>
      <c r="X76" s="391" t="s">
        <v>635</v>
      </c>
      <c r="Y76" s="391" t="s">
        <v>841</v>
      </c>
      <c r="Z76" s="391" t="s">
        <v>858</v>
      </c>
      <c r="AA76" s="391" t="s">
        <v>767</v>
      </c>
    </row>
    <row r="77" ht="15.75" customHeight="1">
      <c r="A77" s="11" t="s">
        <v>859</v>
      </c>
      <c r="B77" s="11" t="s">
        <v>801</v>
      </c>
      <c r="C77" s="11" t="s">
        <v>741</v>
      </c>
      <c r="D77" s="11" t="s">
        <v>778</v>
      </c>
      <c r="G77" s="11" t="s">
        <v>860</v>
      </c>
      <c r="H77" s="11" t="s">
        <v>861</v>
      </c>
      <c r="J77" s="387" t="s">
        <v>862</v>
      </c>
      <c r="K77" s="11" t="s">
        <v>761</v>
      </c>
      <c r="L77" s="4" t="s">
        <v>847</v>
      </c>
      <c r="M77" s="4" t="s">
        <v>848</v>
      </c>
      <c r="N77" s="4" t="s">
        <v>543</v>
      </c>
      <c r="O77" s="4" t="s">
        <v>863</v>
      </c>
      <c r="P77" s="308" t="s">
        <v>864</v>
      </c>
      <c r="S77" s="392" t="str">
        <f t="shared" ref="S77:S98" si="1">CONCATENATE(T:T,U:U,V:V)</f>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77" s="4" t="s">
        <v>848</v>
      </c>
      <c r="U77" s="4" t="s">
        <v>849</v>
      </c>
      <c r="V77" s="4" t="s">
        <v>543</v>
      </c>
      <c r="W77" s="393"/>
    </row>
    <row r="78" ht="15.75" customHeight="1">
      <c r="A78" s="11" t="s">
        <v>865</v>
      </c>
      <c r="B78" s="11" t="s">
        <v>794</v>
      </c>
      <c r="C78" s="11" t="s">
        <v>828</v>
      </c>
      <c r="D78" s="11" t="s">
        <v>797</v>
      </c>
      <c r="G78" s="11" t="s">
        <v>866</v>
      </c>
      <c r="H78" s="11" t="s">
        <v>826</v>
      </c>
      <c r="J78" s="387" t="s">
        <v>867</v>
      </c>
      <c r="K78" s="11" t="s">
        <v>771</v>
      </c>
      <c r="L78" s="4" t="s">
        <v>847</v>
      </c>
      <c r="M78" s="4" t="s">
        <v>848</v>
      </c>
      <c r="N78" s="4" t="s">
        <v>868</v>
      </c>
      <c r="O78" s="4" t="s">
        <v>754</v>
      </c>
      <c r="P78" s="308" t="s">
        <v>788</v>
      </c>
      <c r="S78"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78" s="4" t="s">
        <v>541</v>
      </c>
      <c r="U78" s="4" t="s">
        <v>863</v>
      </c>
      <c r="V78" s="4" t="s">
        <v>868</v>
      </c>
      <c r="W78" s="393"/>
    </row>
    <row r="79" ht="15.75" customHeight="1">
      <c r="A79" s="11" t="s">
        <v>869</v>
      </c>
      <c r="B79" s="11" t="s">
        <v>785</v>
      </c>
      <c r="C79" s="11" t="s">
        <v>828</v>
      </c>
      <c r="D79" s="11" t="s">
        <v>778</v>
      </c>
      <c r="G79" s="11" t="s">
        <v>870</v>
      </c>
      <c r="H79" s="11" t="s">
        <v>830</v>
      </c>
      <c r="J79" s="387" t="s">
        <v>808</v>
      </c>
      <c r="K79" s="11" t="s">
        <v>749</v>
      </c>
      <c r="L79" s="4" t="s">
        <v>847</v>
      </c>
      <c r="M79" s="4" t="s">
        <v>848</v>
      </c>
      <c r="N79" s="4" t="s">
        <v>278</v>
      </c>
      <c r="O79" s="4" t="s">
        <v>754</v>
      </c>
      <c r="P79" s="308" t="s">
        <v>788</v>
      </c>
      <c r="S79"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79" s="4"/>
      <c r="U79" s="4" t="s">
        <v>754</v>
      </c>
      <c r="V79" s="4" t="s">
        <v>278</v>
      </c>
      <c r="W79" s="393"/>
    </row>
    <row r="80" ht="15.75" customHeight="1">
      <c r="A80" s="11" t="s">
        <v>361</v>
      </c>
      <c r="B80" s="11" t="s">
        <v>774</v>
      </c>
      <c r="C80" s="11" t="s">
        <v>828</v>
      </c>
      <c r="D80" s="11" t="s">
        <v>778</v>
      </c>
      <c r="G80" s="11" t="s">
        <v>871</v>
      </c>
      <c r="H80" s="11" t="s">
        <v>834</v>
      </c>
      <c r="J80" s="394" t="s">
        <v>872</v>
      </c>
      <c r="K80" s="11" t="s">
        <v>782</v>
      </c>
      <c r="L80" s="4" t="s">
        <v>847</v>
      </c>
      <c r="M80" s="4" t="s">
        <v>541</v>
      </c>
      <c r="N80" s="4" t="s">
        <v>543</v>
      </c>
      <c r="O80" s="4" t="s">
        <v>863</v>
      </c>
      <c r="P80" s="395" t="s">
        <v>873</v>
      </c>
      <c r="S80"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0" s="4"/>
      <c r="U80" s="4"/>
      <c r="V80" s="4"/>
      <c r="W80" s="393"/>
    </row>
    <row r="81" ht="36.75" customHeight="1">
      <c r="A81" s="11" t="s">
        <v>874</v>
      </c>
      <c r="B81" s="11" t="s">
        <v>794</v>
      </c>
      <c r="C81" s="11" t="s">
        <v>828</v>
      </c>
      <c r="D81" s="11" t="s">
        <v>797</v>
      </c>
      <c r="J81" s="387" t="s">
        <v>540</v>
      </c>
      <c r="K81" s="11" t="s">
        <v>791</v>
      </c>
      <c r="L81" s="4" t="s">
        <v>847</v>
      </c>
      <c r="M81" s="4" t="s">
        <v>541</v>
      </c>
      <c r="N81" s="4" t="s">
        <v>868</v>
      </c>
      <c r="O81" s="4" t="s">
        <v>863</v>
      </c>
      <c r="P81" s="11" t="s">
        <v>875</v>
      </c>
      <c r="S81"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1" s="4" t="s">
        <v>848</v>
      </c>
      <c r="U81" s="4" t="s">
        <v>849</v>
      </c>
      <c r="V81" s="4" t="s">
        <v>543</v>
      </c>
      <c r="W81" s="11" t="s">
        <v>757</v>
      </c>
      <c r="X81" s="4" t="s">
        <v>847</v>
      </c>
      <c r="Y81" s="308" t="s">
        <v>850</v>
      </c>
      <c r="Z81" s="4" t="s">
        <v>584</v>
      </c>
      <c r="AA81" s="4" t="s">
        <v>849</v>
      </c>
    </row>
    <row r="82" ht="15.75" customHeight="1">
      <c r="J82" s="387" t="s">
        <v>876</v>
      </c>
      <c r="K82" s="11" t="s">
        <v>753</v>
      </c>
      <c r="L82" s="4" t="s">
        <v>847</v>
      </c>
      <c r="M82" s="4" t="s">
        <v>541</v>
      </c>
      <c r="N82" s="4" t="s">
        <v>278</v>
      </c>
      <c r="O82" s="11" t="s">
        <v>754</v>
      </c>
      <c r="P82" s="308" t="s">
        <v>877</v>
      </c>
      <c r="S82"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2" s="4" t="s">
        <v>848</v>
      </c>
      <c r="U82" s="4" t="s">
        <v>849</v>
      </c>
      <c r="V82" s="4" t="s">
        <v>868</v>
      </c>
      <c r="W82" s="11" t="s">
        <v>757</v>
      </c>
      <c r="X82" s="4" t="s">
        <v>847</v>
      </c>
      <c r="Y82" s="308" t="s">
        <v>850</v>
      </c>
      <c r="Z82" s="4" t="s">
        <v>584</v>
      </c>
      <c r="AA82" s="4" t="s">
        <v>849</v>
      </c>
    </row>
    <row r="83" ht="15.75" customHeight="1">
      <c r="J83" s="394" t="s">
        <v>878</v>
      </c>
      <c r="K83" s="11" t="s">
        <v>742</v>
      </c>
      <c r="L83" s="4" t="s">
        <v>847</v>
      </c>
      <c r="M83" s="4" t="s">
        <v>541</v>
      </c>
      <c r="N83" s="4" t="s">
        <v>543</v>
      </c>
      <c r="O83" s="4" t="s">
        <v>754</v>
      </c>
      <c r="P83" s="308" t="s">
        <v>873</v>
      </c>
      <c r="S83"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3" s="4" t="s">
        <v>848</v>
      </c>
      <c r="U83" s="4" t="s">
        <v>849</v>
      </c>
      <c r="V83" s="4" t="s">
        <v>278</v>
      </c>
      <c r="W83" s="11" t="s">
        <v>740</v>
      </c>
      <c r="X83" s="4" t="s">
        <v>847</v>
      </c>
      <c r="Y83" s="308" t="s">
        <v>850</v>
      </c>
      <c r="Z83" s="4" t="s">
        <v>741</v>
      </c>
      <c r="AA83" s="4" t="s">
        <v>849</v>
      </c>
    </row>
    <row r="84" ht="31.5" customHeight="1">
      <c r="B84" s="11" t="s">
        <v>774</v>
      </c>
      <c r="C84" s="11" t="s">
        <v>828</v>
      </c>
      <c r="J84" s="387" t="s">
        <v>879</v>
      </c>
      <c r="K84" s="11" t="s">
        <v>745</v>
      </c>
      <c r="L84" s="4" t="s">
        <v>847</v>
      </c>
      <c r="M84" s="4" t="s">
        <v>541</v>
      </c>
      <c r="N84" s="4" t="s">
        <v>868</v>
      </c>
      <c r="O84" s="4" t="s">
        <v>754</v>
      </c>
      <c r="P84" s="308" t="s">
        <v>880</v>
      </c>
      <c r="S84"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4" s="4" t="s">
        <v>848</v>
      </c>
      <c r="U84" s="4" t="s">
        <v>863</v>
      </c>
      <c r="V84" s="4" t="s">
        <v>543</v>
      </c>
      <c r="W84" s="11" t="s">
        <v>761</v>
      </c>
      <c r="X84" s="4" t="s">
        <v>847</v>
      </c>
      <c r="Y84" s="308" t="s">
        <v>864</v>
      </c>
      <c r="Z84" s="4" t="s">
        <v>584</v>
      </c>
      <c r="AA84" s="4" t="s">
        <v>881</v>
      </c>
    </row>
    <row r="85" ht="15.75" customHeight="1">
      <c r="B85" s="11" t="s">
        <v>785</v>
      </c>
      <c r="C85" s="11" t="s">
        <v>828</v>
      </c>
      <c r="J85" s="387" t="s">
        <v>882</v>
      </c>
      <c r="K85" s="11" t="s">
        <v>756</v>
      </c>
      <c r="L85" s="4" t="s">
        <v>847</v>
      </c>
      <c r="M85" s="4" t="s">
        <v>541</v>
      </c>
      <c r="N85" s="4" t="s">
        <v>278</v>
      </c>
      <c r="O85" s="4" t="s">
        <v>754</v>
      </c>
      <c r="P85" s="308" t="s">
        <v>883</v>
      </c>
      <c r="S85"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5" s="4" t="s">
        <v>848</v>
      </c>
      <c r="U85" s="4" t="s">
        <v>863</v>
      </c>
      <c r="V85" s="4" t="s">
        <v>868</v>
      </c>
      <c r="W85" s="11" t="s">
        <v>761</v>
      </c>
      <c r="X85" s="4" t="s">
        <v>847</v>
      </c>
      <c r="Y85" s="308" t="s">
        <v>864</v>
      </c>
      <c r="Z85" s="4" t="s">
        <v>584</v>
      </c>
      <c r="AA85" s="4" t="s">
        <v>881</v>
      </c>
    </row>
    <row r="86" ht="15.75" customHeight="1">
      <c r="B86" s="11" t="s">
        <v>794</v>
      </c>
      <c r="C86" s="11" t="s">
        <v>828</v>
      </c>
      <c r="J86" s="387" t="s">
        <v>884</v>
      </c>
      <c r="K86" s="11" t="s">
        <v>791</v>
      </c>
      <c r="L86" s="4" t="s">
        <v>847</v>
      </c>
      <c r="M86" s="4" t="s">
        <v>541</v>
      </c>
      <c r="N86" s="4" t="s">
        <v>543</v>
      </c>
      <c r="O86" s="4" t="s">
        <v>863</v>
      </c>
      <c r="P86" s="308" t="s">
        <v>875</v>
      </c>
      <c r="S86"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6" s="4" t="s">
        <v>848</v>
      </c>
      <c r="U86" s="4" t="s">
        <v>863</v>
      </c>
      <c r="V86" s="4" t="s">
        <v>278</v>
      </c>
      <c r="W86" s="11" t="s">
        <v>761</v>
      </c>
      <c r="X86" s="4" t="s">
        <v>847</v>
      </c>
      <c r="Y86" s="308" t="s">
        <v>864</v>
      </c>
      <c r="Z86" s="4" t="s">
        <v>584</v>
      </c>
      <c r="AA86" s="4" t="s">
        <v>881</v>
      </c>
    </row>
    <row r="87" ht="15.75" customHeight="1">
      <c r="B87" s="11" t="s">
        <v>794</v>
      </c>
      <c r="C87" s="11" t="s">
        <v>828</v>
      </c>
      <c r="J87" s="396" t="s">
        <v>885</v>
      </c>
      <c r="K87" s="11" t="s">
        <v>745</v>
      </c>
      <c r="L87" s="310" t="s">
        <v>847</v>
      </c>
      <c r="M87" s="310" t="s">
        <v>541</v>
      </c>
      <c r="N87" s="310" t="s">
        <v>868</v>
      </c>
      <c r="O87" s="310" t="s">
        <v>754</v>
      </c>
      <c r="P87" s="312" t="s">
        <v>880</v>
      </c>
      <c r="S87"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7" s="4" t="s">
        <v>848</v>
      </c>
      <c r="U87" s="4" t="s">
        <v>754</v>
      </c>
      <c r="V87" s="4" t="s">
        <v>543</v>
      </c>
      <c r="W87" s="11" t="s">
        <v>771</v>
      </c>
      <c r="X87" s="4" t="s">
        <v>847</v>
      </c>
      <c r="Y87" s="308" t="s">
        <v>788</v>
      </c>
      <c r="Z87" s="4" t="s">
        <v>584</v>
      </c>
      <c r="AA87" s="4" t="s">
        <v>778</v>
      </c>
    </row>
    <row r="88" ht="15.75" customHeight="1">
      <c r="B88" s="11" t="s">
        <v>794</v>
      </c>
      <c r="C88" s="11" t="s">
        <v>828</v>
      </c>
      <c r="S88"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8" s="4" t="s">
        <v>848</v>
      </c>
      <c r="U88" s="4" t="s">
        <v>754</v>
      </c>
      <c r="V88" s="4" t="s">
        <v>868</v>
      </c>
      <c r="W88" s="11" t="s">
        <v>771</v>
      </c>
      <c r="X88" s="4" t="s">
        <v>847</v>
      </c>
      <c r="Y88" s="308" t="s">
        <v>788</v>
      </c>
      <c r="Z88" s="4" t="s">
        <v>741</v>
      </c>
      <c r="AA88" s="4" t="s">
        <v>778</v>
      </c>
    </row>
    <row r="89" ht="15.75" customHeight="1">
      <c r="B89" s="11" t="s">
        <v>801</v>
      </c>
      <c r="C89" s="11" t="s">
        <v>741</v>
      </c>
      <c r="S89"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89" s="4" t="s">
        <v>848</v>
      </c>
      <c r="U89" s="4" t="s">
        <v>754</v>
      </c>
      <c r="V89" s="4" t="s">
        <v>278</v>
      </c>
      <c r="W89" s="11" t="s">
        <v>749</v>
      </c>
      <c r="X89" s="4" t="s">
        <v>847</v>
      </c>
      <c r="Y89" s="308" t="s">
        <v>788</v>
      </c>
      <c r="Z89" s="4" t="s">
        <v>741</v>
      </c>
      <c r="AA89" s="4" t="s">
        <v>778</v>
      </c>
    </row>
    <row r="90" ht="15.75" customHeight="1">
      <c r="B90" s="11" t="s">
        <v>801</v>
      </c>
      <c r="C90" s="11" t="s">
        <v>741</v>
      </c>
      <c r="S90"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0" s="4" t="s">
        <v>541</v>
      </c>
      <c r="U90" s="4" t="s">
        <v>849</v>
      </c>
      <c r="V90" s="4" t="s">
        <v>543</v>
      </c>
      <c r="W90" s="11" t="s">
        <v>782</v>
      </c>
      <c r="X90" s="4" t="s">
        <v>847</v>
      </c>
      <c r="Y90" s="395" t="s">
        <v>873</v>
      </c>
      <c r="Z90" s="4" t="s">
        <v>743</v>
      </c>
      <c r="AA90" s="4" t="s">
        <v>886</v>
      </c>
    </row>
    <row r="91" ht="15.75" customHeight="1">
      <c r="B91" s="11" t="s">
        <v>807</v>
      </c>
      <c r="C91" s="11" t="s">
        <v>741</v>
      </c>
      <c r="S91"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1" s="4" t="s">
        <v>541</v>
      </c>
      <c r="U91" s="4" t="s">
        <v>849</v>
      </c>
      <c r="V91" s="4" t="s">
        <v>868</v>
      </c>
      <c r="W91" s="11" t="s">
        <v>791</v>
      </c>
      <c r="X91" s="4" t="s">
        <v>847</v>
      </c>
      <c r="Y91" s="11" t="s">
        <v>875</v>
      </c>
      <c r="Z91" s="4" t="s">
        <v>584</v>
      </c>
      <c r="AA91" s="4" t="s">
        <v>887</v>
      </c>
    </row>
    <row r="92" ht="15.75" customHeight="1">
      <c r="B92" s="11" t="s">
        <v>812</v>
      </c>
      <c r="C92" s="11" t="s">
        <v>828</v>
      </c>
      <c r="S92"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2" s="4" t="s">
        <v>541</v>
      </c>
      <c r="U92" s="4" t="s">
        <v>849</v>
      </c>
      <c r="V92" s="4" t="s">
        <v>278</v>
      </c>
      <c r="W92" s="11" t="s">
        <v>753</v>
      </c>
      <c r="X92" s="4" t="s">
        <v>847</v>
      </c>
      <c r="Y92" s="308" t="s">
        <v>877</v>
      </c>
      <c r="Z92" s="4" t="s">
        <v>741</v>
      </c>
      <c r="AA92" s="4" t="s">
        <v>849</v>
      </c>
    </row>
    <row r="93" ht="15.75" customHeight="1">
      <c r="S93"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3" s="4" t="s">
        <v>541</v>
      </c>
      <c r="U93" s="4" t="s">
        <v>863</v>
      </c>
      <c r="V93" s="4" t="s">
        <v>543</v>
      </c>
      <c r="W93" s="11" t="s">
        <v>782</v>
      </c>
      <c r="X93" s="4" t="s">
        <v>847</v>
      </c>
      <c r="Y93" s="395" t="s">
        <v>873</v>
      </c>
      <c r="Z93" s="4" t="s">
        <v>743</v>
      </c>
      <c r="AA93" s="4" t="s">
        <v>887</v>
      </c>
    </row>
    <row r="94" ht="15.75" customHeight="1">
      <c r="S94"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4" s="4" t="s">
        <v>541</v>
      </c>
      <c r="U94" s="4" t="s">
        <v>863</v>
      </c>
      <c r="V94" s="4" t="s">
        <v>868</v>
      </c>
      <c r="W94" s="11" t="s">
        <v>791</v>
      </c>
      <c r="X94" s="4" t="s">
        <v>847</v>
      </c>
      <c r="Y94" s="11" t="s">
        <v>875</v>
      </c>
      <c r="Z94" s="4" t="s">
        <v>584</v>
      </c>
      <c r="AA94" s="4" t="s">
        <v>887</v>
      </c>
    </row>
    <row r="95" ht="15.75" customHeight="1">
      <c r="A95" s="397" t="s">
        <v>888</v>
      </c>
      <c r="B95" s="11" t="s">
        <v>889</v>
      </c>
      <c r="M95" s="4"/>
      <c r="N95" s="4"/>
      <c r="O95" s="4"/>
      <c r="P95" s="4"/>
      <c r="S95"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5" s="4" t="s">
        <v>541</v>
      </c>
      <c r="U95" s="4" t="s">
        <v>863</v>
      </c>
      <c r="V95" s="4" t="s">
        <v>278</v>
      </c>
      <c r="W95" s="11" t="s">
        <v>753</v>
      </c>
      <c r="X95" s="4" t="s">
        <v>847</v>
      </c>
      <c r="Y95" s="308" t="s">
        <v>877</v>
      </c>
      <c r="Z95" s="4" t="s">
        <v>741</v>
      </c>
      <c r="AA95" s="4" t="s">
        <v>849</v>
      </c>
    </row>
    <row r="96" ht="15.75" customHeight="1">
      <c r="A96" s="397" t="s">
        <v>890</v>
      </c>
      <c r="B96" s="11" t="s">
        <v>889</v>
      </c>
      <c r="S96"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6" s="4" t="s">
        <v>541</v>
      </c>
      <c r="U96" s="4" t="s">
        <v>754</v>
      </c>
      <c r="V96" s="4" t="s">
        <v>543</v>
      </c>
      <c r="W96" s="11" t="s">
        <v>742</v>
      </c>
      <c r="X96" s="4" t="s">
        <v>847</v>
      </c>
      <c r="Y96" s="308" t="s">
        <v>873</v>
      </c>
      <c r="Z96" s="4" t="s">
        <v>743</v>
      </c>
      <c r="AA96" s="4" t="s">
        <v>778</v>
      </c>
    </row>
    <row r="97" ht="15.75" customHeight="1">
      <c r="A97" s="397" t="s">
        <v>891</v>
      </c>
      <c r="B97" s="11" t="s">
        <v>892</v>
      </c>
      <c r="J97" s="11" t="str">
        <f t="shared" ref="J97:J108" si="2">CONCATENATE(K:K,L:L,M:M)</f>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c r="S97"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7" s="4" t="s">
        <v>541</v>
      </c>
      <c r="U97" s="4" t="s">
        <v>754</v>
      </c>
      <c r="V97" s="4" t="s">
        <v>868</v>
      </c>
      <c r="W97" s="11" t="s">
        <v>745</v>
      </c>
      <c r="X97" s="4" t="s">
        <v>847</v>
      </c>
      <c r="Y97" s="312" t="s">
        <v>880</v>
      </c>
      <c r="Z97" s="4" t="s">
        <v>584</v>
      </c>
      <c r="AA97" s="4" t="s">
        <v>895</v>
      </c>
    </row>
    <row r="98" ht="15.75" customHeight="1">
      <c r="A98" s="397" t="s">
        <v>896</v>
      </c>
      <c r="B98" s="11" t="s">
        <v>892</v>
      </c>
      <c r="J98"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c r="S98" s="392" t="str">
        <f t="shared" si="1"/>
        <v>EtEcAFUECOPHSPFVariable #1Water/GroundAir/NoneWater/GroundWater/GroundWater/GroundWater/GroundWater/GroundWater/GroundWater/GroundWater/GroundWater/GroundAir/NoneAir/NoneAir/NoneAir/NoneAir/NoneAir/NoneAir/NoneAir/NoneAir/NoneVariable #2Electric Resistance Heat PumpFossil Fuel Electric Resistance Electric Resistance Electric Resistance Heat PumpHeat PumpHeat PumpFossil Fuel Fossil Fuel Fossil Fuel Electric Resistance Electric Resistance Electric Resistance Heat PumpHeat PumpHeat PumpFossil Fuel Fossil Fuel Fossil Fuel Variable #3Single-Zone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OtherSingle-Zone Residential Single-Zone Non-Residential Other</v>
      </c>
      <c r="T98" s="4" t="s">
        <v>541</v>
      </c>
      <c r="U98" s="4" t="s">
        <v>754</v>
      </c>
      <c r="V98" s="4" t="s">
        <v>278</v>
      </c>
      <c r="W98" s="11" t="s">
        <v>756</v>
      </c>
      <c r="X98" s="4" t="s">
        <v>847</v>
      </c>
      <c r="Y98" s="308" t="s">
        <v>883</v>
      </c>
      <c r="Z98" s="4" t="s">
        <v>741</v>
      </c>
      <c r="AA98" s="4" t="s">
        <v>778</v>
      </c>
    </row>
    <row r="99" ht="15.75" customHeight="1">
      <c r="A99" s="397" t="s">
        <v>897</v>
      </c>
      <c r="B99" s="11" t="s">
        <v>892</v>
      </c>
      <c r="J99"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c r="S99" s="392"/>
      <c r="T99" s="4"/>
      <c r="U99" s="4"/>
      <c r="V99" s="4"/>
      <c r="W99" s="393"/>
    </row>
    <row r="100" ht="15.75" customHeight="1">
      <c r="A100" s="397" t="s">
        <v>898</v>
      </c>
      <c r="B100" s="11" t="s">
        <v>889</v>
      </c>
      <c r="J100"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c r="S100" s="403"/>
      <c r="T100" s="405"/>
      <c r="U100" s="405"/>
      <c r="V100" s="405"/>
      <c r="W100" s="406"/>
    </row>
    <row r="101" ht="15.75" customHeight="1">
      <c r="A101" s="397" t="s">
        <v>899</v>
      </c>
      <c r="B101" s="11" t="s">
        <v>889</v>
      </c>
      <c r="J101"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2" ht="15.75" customHeight="1">
      <c r="A102" s="397" t="s">
        <v>901</v>
      </c>
      <c r="B102" s="11" t="s">
        <v>889</v>
      </c>
      <c r="J102"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3" ht="15.75" customHeight="1">
      <c r="A103" s="397" t="s">
        <v>286</v>
      </c>
      <c r="B103" s="11" t="s">
        <v>889</v>
      </c>
      <c r="J103"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4" ht="15.75" customHeight="1">
      <c r="A104" s="397" t="s">
        <v>902</v>
      </c>
      <c r="B104" s="11" t="s">
        <v>889</v>
      </c>
      <c r="J104"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5" ht="15.75" customHeight="1">
      <c r="A105" s="397" t="s">
        <v>904</v>
      </c>
      <c r="B105" s="11" t="s">
        <v>889</v>
      </c>
      <c r="J105"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6" ht="15.75" customHeight="1">
      <c r="A106" s="397" t="s">
        <v>905</v>
      </c>
      <c r="B106" s="11" t="s">
        <v>889</v>
      </c>
      <c r="J106"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7" ht="15.75" customHeight="1">
      <c r="A107" s="397" t="s">
        <v>906</v>
      </c>
      <c r="B107" s="11" t="s">
        <v>892</v>
      </c>
      <c r="J107"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8" ht="15.75" customHeight="1">
      <c r="A108" s="397" t="s">
        <v>908</v>
      </c>
      <c r="B108" s="11" t="s">
        <v>889</v>
      </c>
      <c r="J108" s="11" t="str">
        <f t="shared" si="2"/>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09" ht="15.75" customHeight="1">
      <c r="A109" s="397" t="s">
        <v>909</v>
      </c>
      <c r="B109" s="11" t="s">
        <v>889</v>
      </c>
    </row>
    <row r="110" ht="15.75" customHeight="1">
      <c r="A110" s="397" t="s">
        <v>910</v>
      </c>
      <c r="B110" s="11" t="s">
        <v>892</v>
      </c>
      <c r="J110" s="11" t="str">
        <f t="shared" ref="J110:J113" si="3">CONCATENATE(K:K,L:L,M:M)</f>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11" ht="15.75" customHeight="1">
      <c r="A111" s="397" t="s">
        <v>912</v>
      </c>
      <c r="B111" s="11" t="s">
        <v>889</v>
      </c>
      <c r="J111" s="11" t="str">
        <f t="shared" si="3"/>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12" ht="15.75" customHeight="1">
      <c r="A112" s="397" t="s">
        <v>913</v>
      </c>
      <c r="B112" s="11" t="s">
        <v>892</v>
      </c>
      <c r="J112" s="11" t="str">
        <f t="shared" si="3"/>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13" ht="15.75" customHeight="1">
      <c r="A113" s="397" t="s">
        <v>239</v>
      </c>
      <c r="B113" s="11" t="s">
        <v>889</v>
      </c>
      <c r="J113" s="11" t="str">
        <f t="shared" si="3"/>
        <v>System TypePackaged terminal air conditionerSingle-zone systemPackaged rooftop air conditionerPackaged rooftop VAV with reheatVAV with reheatWarm air furnace, gas firedBaseline Section 11System 5: Two-pipe fan-coilSystem 1: VAV with PFP boxesSystem 6: Water-source HPSystem 7: Four-pipe fan-coilSystem 2: VAV with reheatSystem 8: PTHPSystem 9: Packaged rooftop HPSystem 3: Packaged VAV with PFP boxesSystem 10: PTACSystem 11: Packaged rooftop ACSystem 4: Packaged VAV with reheatSystem 9: Packaged rooftop HPSystem 11: Packaged rooftop ACFan ControlConstant volumeConstant volumeConstant volumeVAVVAVConstant volumeFan Power s.11Refer to 6.5.3.1 Refer to 6.5.3.1 Refer to 6.5.3.1 Refer to 6.5.3.1 Refer to 6.5.3.1 Refer to 6.5.3.1 Refer to 6.5.3.1 Refer to 6.5.3.1 Refer to 6.5.3.1 Refer to 6.5.3.1 Refer to 6.5.3.1 Refer to 6.5.3.1 Refer to 6.5.3.1 40All OtherDormitoryHealthcare/hospitalHotel/motelMultifamilyOfficeRestaurantRetailSchoolWarehouseWeighted AverageGrocery StoreHealthcare (hospital)HospitalHotel/motel (&lt; 75 rooms)Hotel/motel (&gt; 75 rooms)MultifamilyOffice (&lt; 5000 ft2)Office (&gt; 50,000 ft2)Office (5000 - 50,000 ft2)OtherRestaurant (full service)Restaurant (quick service)Retail ( strip mall)Retail (Stand alone)School (primary)School (secondary and university)Warehouse (nonrefrigerated)Cooling TypeDirect expansionChilled waterDirect expansionDirect expansionChilled waterNoneCooler Condensing SourceWater/GroundWater/GroundWater/GroundWater/GroundWater/GroundAir/NoneAir/NoneAir/NoneAir/NoneAir/NoneAir/NoneAir/NoneAir/None</v>
      </c>
    </row>
    <row r="114" ht="15.75" customHeight="1">
      <c r="A114" s="397" t="s">
        <v>915</v>
      </c>
      <c r="B114" s="11" t="s">
        <v>892</v>
      </c>
    </row>
    <row r="115" ht="15.75" customHeight="1">
      <c r="A115" s="397" t="s">
        <v>290</v>
      </c>
      <c r="B115" s="11" t="s">
        <v>892</v>
      </c>
    </row>
    <row r="116" ht="15.75" customHeight="1">
      <c r="A116" s="397" t="s">
        <v>917</v>
      </c>
      <c r="B116" s="11" t="s">
        <v>892</v>
      </c>
    </row>
    <row r="117" ht="15.75" customHeight="1">
      <c r="A117" s="397" t="s">
        <v>918</v>
      </c>
      <c r="B117" s="11" t="s">
        <v>889</v>
      </c>
    </row>
    <row r="118" ht="15.75" customHeight="1">
      <c r="A118" s="397" t="s">
        <v>919</v>
      </c>
      <c r="B118" s="11" t="s">
        <v>889</v>
      </c>
    </row>
    <row r="119" ht="15.75" customHeight="1">
      <c r="A119" s="397" t="s">
        <v>920</v>
      </c>
      <c r="B119" s="11" t="s">
        <v>892</v>
      </c>
    </row>
    <row r="120" ht="15.75" customHeight="1">
      <c r="A120" s="397" t="s">
        <v>921</v>
      </c>
      <c r="B120" s="11" t="s">
        <v>892</v>
      </c>
    </row>
    <row r="121" ht="15.75" customHeight="1">
      <c r="A121" s="397" t="s">
        <v>923</v>
      </c>
      <c r="B121" s="11" t="s">
        <v>892</v>
      </c>
    </row>
    <row r="122" ht="15.75" customHeight="1">
      <c r="A122" s="397" t="s">
        <v>292</v>
      </c>
      <c r="B122" s="11" t="s">
        <v>892</v>
      </c>
    </row>
    <row r="123" ht="15.75" customHeight="1">
      <c r="A123" s="397" t="s">
        <v>924</v>
      </c>
      <c r="B123" s="11" t="s">
        <v>889</v>
      </c>
    </row>
    <row r="124" ht="15.75" customHeight="1">
      <c r="A124" s="397" t="s">
        <v>925</v>
      </c>
      <c r="B124" s="11" t="s">
        <v>889</v>
      </c>
    </row>
    <row r="125" ht="15.75" customHeight="1">
      <c r="A125" s="397" t="s">
        <v>926</v>
      </c>
      <c r="B125" s="11" t="s">
        <v>892</v>
      </c>
    </row>
    <row r="126" ht="15.75" customHeight="1">
      <c r="A126" s="397" t="s">
        <v>928</v>
      </c>
      <c r="B126" s="11" t="s">
        <v>892</v>
      </c>
    </row>
    <row r="127" ht="15.75" customHeight="1">
      <c r="A127" s="397" t="s">
        <v>294</v>
      </c>
      <c r="B127" s="11" t="s">
        <v>892</v>
      </c>
    </row>
    <row r="128" ht="15.75" customHeight="1">
      <c r="A128" s="397" t="s">
        <v>929</v>
      </c>
      <c r="B128" s="11" t="s">
        <v>892</v>
      </c>
    </row>
    <row r="129" ht="15.75" customHeight="1"/>
    <row r="130" ht="15.75" customHeight="1"/>
    <row r="131" ht="15.75" customHeight="1">
      <c r="A131" s="407" t="s">
        <v>930</v>
      </c>
      <c r="B131" s="407"/>
      <c r="C131" s="407"/>
    </row>
    <row r="132" ht="15.75" customHeight="1">
      <c r="B132" s="386">
        <v>2024.0</v>
      </c>
      <c r="C132" s="386">
        <v>2030.0</v>
      </c>
      <c r="D132" s="407"/>
      <c r="E132" s="407"/>
      <c r="F132" s="407"/>
    </row>
    <row r="133" ht="15.75" customHeight="1">
      <c r="A133" s="386" t="s">
        <v>932</v>
      </c>
      <c r="B133" s="386" t="s">
        <v>933</v>
      </c>
      <c r="C133" s="386"/>
    </row>
    <row r="134" ht="15.75" customHeight="1">
      <c r="A134" s="11" t="s">
        <v>934</v>
      </c>
      <c r="B134" s="11">
        <v>0.01074</v>
      </c>
      <c r="C134" s="11">
        <v>0.0042</v>
      </c>
      <c r="E134" s="386" t="s">
        <v>936</v>
      </c>
      <c r="F134" s="386" t="s">
        <v>937</v>
      </c>
    </row>
    <row r="135" ht="15.75" customHeight="1">
      <c r="A135" s="11" t="s">
        <v>938</v>
      </c>
      <c r="B135" s="11">
        <v>0.00846</v>
      </c>
      <c r="C135" s="11">
        <v>0.00453</v>
      </c>
      <c r="E135" s="11" t="s">
        <v>939</v>
      </c>
      <c r="F135" s="11">
        <v>2.88962E-4</v>
      </c>
    </row>
    <row r="136" ht="15.75" customHeight="1">
      <c r="A136" s="11" t="s">
        <v>940</v>
      </c>
      <c r="B136" s="11">
        <v>0.00758</v>
      </c>
      <c r="C136" s="11">
        <v>0.00344</v>
      </c>
      <c r="E136" s="11" t="s">
        <v>248</v>
      </c>
      <c r="F136" s="408">
        <v>5.311E-5</v>
      </c>
    </row>
    <row r="137" ht="15.75" customHeight="1">
      <c r="A137" s="11" t="s">
        <v>942</v>
      </c>
      <c r="B137" s="11">
        <v>0.01138</v>
      </c>
      <c r="C137" s="11">
        <v>0.00598</v>
      </c>
      <c r="E137" s="11" t="s">
        <v>250</v>
      </c>
      <c r="F137" s="408">
        <v>7.421E-5</v>
      </c>
    </row>
    <row r="138" ht="15.75" customHeight="1">
      <c r="A138" s="11" t="s">
        <v>943</v>
      </c>
      <c r="B138" s="11">
        <v>0.00574</v>
      </c>
      <c r="C138" s="11">
        <v>0.00167</v>
      </c>
      <c r="E138" s="11" t="s">
        <v>252</v>
      </c>
      <c r="F138" s="408">
        <v>7.529E-5</v>
      </c>
    </row>
    <row r="139" ht="15.75" customHeight="1">
      <c r="A139" s="11" t="s">
        <v>944</v>
      </c>
      <c r="B139" s="11">
        <v>0.02381</v>
      </c>
      <c r="C139" s="11">
        <v>0.0133</v>
      </c>
      <c r="E139" s="11" t="s">
        <v>253</v>
      </c>
      <c r="F139" s="408">
        <v>4.493E-5</v>
      </c>
    </row>
    <row r="140" ht="15.75" customHeight="1">
      <c r="A140" s="11" t="s">
        <v>947</v>
      </c>
      <c r="B140" s="11">
        <v>0.01181</v>
      </c>
      <c r="C140" s="11">
        <v>0.00403</v>
      </c>
    </row>
    <row r="141" ht="15.75" customHeight="1">
      <c r="A141" s="11" t="s">
        <v>948</v>
      </c>
      <c r="B141" s="11">
        <v>0.00987</v>
      </c>
      <c r="C141" s="11">
        <v>0.00526</v>
      </c>
    </row>
    <row r="142" ht="15.75" customHeight="1">
      <c r="A142" s="11" t="s">
        <v>949</v>
      </c>
      <c r="B142" s="11">
        <v>0.00675</v>
      </c>
      <c r="C142" s="11">
        <v>0.00407</v>
      </c>
    </row>
    <row r="143" ht="15.75" customHeight="1">
      <c r="A143" s="11" t="s">
        <v>951</v>
      </c>
      <c r="B143" s="11">
        <v>0.00426</v>
      </c>
      <c r="C143" s="11">
        <v>0.0011</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1.71"/>
    <col customWidth="1" min="3" max="3" width="26.57"/>
    <col customWidth="1" min="4" max="4" width="7.43"/>
    <col customWidth="1" min="5" max="5" width="22.86"/>
    <col customWidth="1" min="6" max="6" width="6.86"/>
    <col customWidth="1" min="7" max="8" width="13.14"/>
  </cols>
  <sheetData>
    <row r="1">
      <c r="B1" s="398"/>
    </row>
    <row r="2" ht="17.25" customHeight="1">
      <c r="B2" s="399" t="s">
        <v>893</v>
      </c>
      <c r="C2" s="400" t="s">
        <v>894</v>
      </c>
      <c r="D2" s="67"/>
      <c r="E2" s="67"/>
      <c r="F2" s="67"/>
      <c r="G2" s="67"/>
      <c r="H2" s="68"/>
    </row>
    <row r="3" ht="26.25" customHeight="1">
      <c r="B3" s="401" t="s">
        <v>349</v>
      </c>
      <c r="C3" s="124" t="s">
        <v>548</v>
      </c>
      <c r="D3" s="68"/>
      <c r="E3" s="124" t="s">
        <v>549</v>
      </c>
      <c r="F3" s="67"/>
      <c r="G3" s="68"/>
      <c r="H3" s="228"/>
    </row>
    <row r="4" ht="31.5" customHeight="1">
      <c r="B4" s="402"/>
      <c r="C4" s="228" t="s">
        <v>365</v>
      </c>
      <c r="D4" s="99" t="s">
        <v>499</v>
      </c>
      <c r="E4" s="404" t="s">
        <v>365</v>
      </c>
      <c r="F4" s="99" t="s">
        <v>499</v>
      </c>
      <c r="G4" s="228" t="s">
        <v>183</v>
      </c>
      <c r="H4" s="228" t="s">
        <v>184</v>
      </c>
    </row>
    <row r="5" ht="31.5" customHeight="1">
      <c r="B5" s="228" t="s">
        <v>900</v>
      </c>
      <c r="C5" s="339"/>
      <c r="D5" s="68"/>
      <c r="E5" s="339"/>
      <c r="F5" s="68"/>
      <c r="G5" s="112"/>
      <c r="H5" s="112"/>
    </row>
    <row r="6" ht="33.75" customHeight="1">
      <c r="B6" s="228" t="s">
        <v>903</v>
      </c>
      <c r="C6" s="339"/>
      <c r="D6" s="68"/>
      <c r="E6" s="339"/>
      <c r="F6" s="68"/>
      <c r="G6" s="112"/>
      <c r="H6" s="112"/>
    </row>
    <row r="7" ht="24.0" customHeight="1">
      <c r="B7" s="99" t="s">
        <v>907</v>
      </c>
      <c r="C7" s="112"/>
      <c r="D7" s="112"/>
      <c r="E7" s="339"/>
      <c r="F7" s="112"/>
      <c r="G7" s="112"/>
      <c r="H7" s="112"/>
    </row>
    <row r="8" ht="22.5" customHeight="1">
      <c r="B8" s="99" t="s">
        <v>911</v>
      </c>
      <c r="C8" s="112"/>
      <c r="D8" s="112"/>
      <c r="E8" s="339"/>
      <c r="F8" s="112"/>
      <c r="G8" s="112"/>
      <c r="H8" s="112"/>
    </row>
    <row r="9" ht="36.0" customHeight="1">
      <c r="B9" s="99" t="s">
        <v>914</v>
      </c>
      <c r="C9" s="112"/>
      <c r="D9" s="112"/>
      <c r="E9" s="339"/>
      <c r="F9" s="112"/>
      <c r="G9" s="112"/>
      <c r="H9" s="112"/>
    </row>
    <row r="10" ht="36.0" customHeight="1">
      <c r="B10" s="99" t="s">
        <v>916</v>
      </c>
      <c r="C10" s="112"/>
      <c r="D10" s="228" t="s">
        <v>514</v>
      </c>
      <c r="E10" s="339"/>
      <c r="F10" s="228" t="s">
        <v>514</v>
      </c>
      <c r="G10" s="112"/>
      <c r="H10" s="112"/>
    </row>
    <row r="11" ht="21.75" customHeight="1">
      <c r="B11" s="99" t="s">
        <v>922</v>
      </c>
      <c r="C11" s="112"/>
      <c r="D11" s="228" t="s">
        <v>514</v>
      </c>
      <c r="E11" s="339"/>
      <c r="F11" s="228" t="s">
        <v>514</v>
      </c>
      <c r="G11" s="112"/>
      <c r="H11" s="112"/>
    </row>
    <row r="12" ht="24.0" customHeight="1">
      <c r="B12" s="99" t="s">
        <v>927</v>
      </c>
      <c r="C12" s="339"/>
      <c r="D12" s="68"/>
      <c r="E12" s="339"/>
      <c r="F12" s="68"/>
      <c r="G12" s="112"/>
      <c r="H12" s="112"/>
    </row>
    <row r="13" ht="24.0" customHeight="1">
      <c r="B13" s="99" t="s">
        <v>931</v>
      </c>
      <c r="C13" s="339"/>
      <c r="D13" s="68"/>
      <c r="E13" s="339"/>
      <c r="F13" s="68"/>
      <c r="G13" s="112"/>
      <c r="H13" s="112"/>
    </row>
    <row r="14" ht="36.0" customHeight="1">
      <c r="B14" s="99" t="s">
        <v>935</v>
      </c>
      <c r="C14" s="112"/>
      <c r="D14" s="228" t="s">
        <v>491</v>
      </c>
      <c r="E14" s="339"/>
      <c r="F14" s="228" t="s">
        <v>491</v>
      </c>
      <c r="G14" s="112"/>
      <c r="H14" s="112"/>
    </row>
    <row r="15" ht="24.0" customHeight="1">
      <c r="B15" s="99" t="s">
        <v>941</v>
      </c>
      <c r="C15" s="112"/>
      <c r="D15" s="112"/>
      <c r="E15" s="339"/>
      <c r="F15" s="112"/>
      <c r="G15" s="112"/>
      <c r="H15" s="112"/>
    </row>
    <row r="16" ht="24.0" customHeight="1">
      <c r="B16" s="99" t="s">
        <v>945</v>
      </c>
      <c r="C16" s="112"/>
      <c r="D16" s="228" t="s">
        <v>946</v>
      </c>
      <c r="E16" s="339"/>
      <c r="F16" s="228" t="s">
        <v>946</v>
      </c>
      <c r="G16" s="112"/>
      <c r="H16" s="112"/>
    </row>
    <row r="17" ht="22.5" customHeight="1">
      <c r="B17" s="99" t="s">
        <v>950</v>
      </c>
      <c r="C17" s="339"/>
      <c r="D17" s="68"/>
      <c r="E17" s="339"/>
      <c r="F17" s="68"/>
      <c r="G17" s="112"/>
      <c r="H17" s="112"/>
    </row>
    <row r="18" ht="21.75" customHeight="1">
      <c r="B18" s="99" t="s">
        <v>952</v>
      </c>
      <c r="C18" s="112"/>
      <c r="D18" s="228" t="s">
        <v>491</v>
      </c>
      <c r="E18" s="339"/>
      <c r="F18" s="228" t="s">
        <v>491</v>
      </c>
      <c r="G18" s="112"/>
      <c r="H18" s="112"/>
    </row>
    <row r="19" ht="24.0" customHeight="1">
      <c r="B19" s="99" t="s">
        <v>953</v>
      </c>
      <c r="C19" s="112"/>
      <c r="D19" s="112"/>
      <c r="E19" s="339"/>
      <c r="F19" s="112"/>
      <c r="G19" s="112"/>
      <c r="H19" s="112"/>
    </row>
    <row r="20" ht="15.0" customHeight="1">
      <c r="B20" s="99" t="s">
        <v>956</v>
      </c>
      <c r="C20" s="112"/>
      <c r="D20" s="228" t="s">
        <v>946</v>
      </c>
      <c r="E20" s="339"/>
      <c r="F20" s="228" t="s">
        <v>946</v>
      </c>
      <c r="G20" s="112"/>
      <c r="H20" s="112"/>
    </row>
    <row r="21" ht="15.0" customHeight="1">
      <c r="B21" s="99" t="s">
        <v>957</v>
      </c>
      <c r="C21" s="339"/>
      <c r="D21" s="68"/>
      <c r="E21" s="339"/>
      <c r="F21" s="68"/>
      <c r="G21" s="112"/>
      <c r="H21" s="112"/>
    </row>
    <row r="22" ht="15.75" customHeight="1">
      <c r="B22" s="99" t="s">
        <v>958</v>
      </c>
      <c r="C22" s="112"/>
      <c r="D22" s="112"/>
      <c r="E22" s="339"/>
      <c r="F22" s="112"/>
      <c r="G22" s="112"/>
      <c r="H22" s="112"/>
    </row>
    <row r="23" ht="24.0" customHeight="1">
      <c r="B23" s="99" t="s">
        <v>959</v>
      </c>
      <c r="C23" s="112"/>
      <c r="D23" s="112"/>
      <c r="E23" s="339"/>
      <c r="F23" s="112"/>
      <c r="G23" s="112"/>
      <c r="H23" s="112"/>
    </row>
    <row r="24" ht="15.75" customHeight="1">
      <c r="B24" s="291" t="s">
        <v>759</v>
      </c>
      <c r="C24" s="332"/>
      <c r="D24" s="109"/>
      <c r="E24" s="332"/>
      <c r="F24" s="109"/>
      <c r="G24" s="112"/>
      <c r="H24" s="112"/>
    </row>
    <row r="25" ht="15.75" customHeight="1">
      <c r="B25" s="291" t="s">
        <v>759</v>
      </c>
      <c r="C25" s="332"/>
      <c r="D25" s="109"/>
      <c r="E25" s="332"/>
      <c r="F25" s="109"/>
      <c r="G25" s="112"/>
      <c r="H25" s="112"/>
    </row>
    <row r="26" ht="15.75" customHeight="1">
      <c r="B26" s="291" t="s">
        <v>759</v>
      </c>
      <c r="C26" s="332"/>
      <c r="D26" s="109"/>
      <c r="E26" s="332"/>
      <c r="F26" s="109"/>
      <c r="G26" s="112"/>
      <c r="H26" s="112"/>
    </row>
    <row r="27" ht="15.75" customHeight="1">
      <c r="B27" s="409" t="s">
        <v>759</v>
      </c>
      <c r="C27" s="410"/>
      <c r="D27" s="244"/>
      <c r="E27" s="410"/>
      <c r="F27" s="244"/>
      <c r="G27" s="245"/>
      <c r="H27" s="245"/>
    </row>
    <row r="28" ht="15.75" customHeight="1">
      <c r="B28" s="182"/>
      <c r="C28" s="45"/>
      <c r="D28" s="45"/>
      <c r="E28" s="45"/>
      <c r="F28" s="45"/>
      <c r="G28" s="45"/>
      <c r="H28" s="46"/>
    </row>
    <row r="29" ht="15.75" customHeight="1">
      <c r="B29" s="47"/>
      <c r="H29" s="48"/>
    </row>
    <row r="30" ht="15.75" customHeight="1">
      <c r="B30" s="47"/>
      <c r="H30" s="48"/>
    </row>
    <row r="31" ht="15.75" customHeight="1">
      <c r="B31" s="47"/>
      <c r="H31" s="48"/>
    </row>
    <row r="32" ht="15.75" customHeight="1">
      <c r="B32" s="47"/>
      <c r="H32" s="48"/>
    </row>
    <row r="33" ht="15.75" customHeight="1">
      <c r="B33" s="47"/>
      <c r="H33" s="48"/>
    </row>
    <row r="34" ht="15.75" customHeight="1">
      <c r="B34" s="47"/>
      <c r="H34" s="48"/>
    </row>
    <row r="35" ht="15.75" customHeight="1">
      <c r="B35" s="47"/>
      <c r="H35" s="48"/>
    </row>
    <row r="36" ht="15.75" customHeight="1">
      <c r="B36" s="47"/>
      <c r="H36" s="48"/>
    </row>
    <row r="37" ht="15.75" customHeight="1">
      <c r="B37" s="49"/>
      <c r="C37" s="50"/>
      <c r="D37" s="50"/>
      <c r="E37" s="50"/>
      <c r="F37" s="50"/>
      <c r="G37" s="50"/>
      <c r="H37" s="51"/>
    </row>
    <row r="38" ht="15.75" customHeight="1"/>
    <row r="39" ht="15.75" customHeight="1"/>
    <row r="40" ht="15.75" customHeight="1">
      <c r="C40" s="1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2:H2"/>
    <mergeCell ref="C3:D3"/>
    <mergeCell ref="E3:G3"/>
    <mergeCell ref="C5:D5"/>
    <mergeCell ref="E5:F5"/>
    <mergeCell ref="C6:D6"/>
    <mergeCell ref="E6:F6"/>
    <mergeCell ref="E21:F21"/>
    <mergeCell ref="B28:H37"/>
    <mergeCell ref="C12:D12"/>
    <mergeCell ref="E12:F12"/>
    <mergeCell ref="C13:D13"/>
    <mergeCell ref="E13:F13"/>
    <mergeCell ref="C17:D17"/>
    <mergeCell ref="E17:F17"/>
    <mergeCell ref="C21:D21"/>
  </mergeCells>
  <printOptions/>
  <pageMargins bottom="0.75" footer="0.0" header="0.0" left="0.25" right="0.25" top="0.75"/>
  <pageSetup scale="80" orientation="portrait"/>
  <headerFooter>
    <oddFooter>&amp;LVersion 7&amp;RAugust 2023</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3.43"/>
    <col customWidth="1" min="3" max="3" width="28.71"/>
    <col customWidth="1" min="4" max="4" width="7.43"/>
    <col customWidth="1" min="5" max="5" width="22.57"/>
    <col customWidth="1" min="6" max="6" width="6.86"/>
    <col customWidth="1" min="7" max="7" width="11.71"/>
    <col customWidth="1" min="8" max="8" width="12.14"/>
  </cols>
  <sheetData>
    <row r="2" ht="17.25" customHeight="1">
      <c r="B2" s="334" t="s">
        <v>954</v>
      </c>
      <c r="C2" s="400" t="s">
        <v>955</v>
      </c>
      <c r="D2" s="67"/>
      <c r="E2" s="67"/>
      <c r="F2" s="67"/>
      <c r="G2" s="67"/>
      <c r="H2" s="68"/>
    </row>
    <row r="3" ht="15.0" customHeight="1">
      <c r="B3" s="401" t="s">
        <v>349</v>
      </c>
      <c r="C3" s="124" t="s">
        <v>548</v>
      </c>
      <c r="D3" s="68"/>
      <c r="E3" s="124" t="s">
        <v>549</v>
      </c>
      <c r="F3" s="67"/>
      <c r="G3" s="68"/>
      <c r="H3" s="228"/>
    </row>
    <row r="4" ht="31.5" customHeight="1">
      <c r="B4" s="402"/>
      <c r="C4" s="228" t="s">
        <v>365</v>
      </c>
      <c r="D4" s="99" t="s">
        <v>499</v>
      </c>
      <c r="E4" s="404" t="s">
        <v>365</v>
      </c>
      <c r="F4" s="99" t="s">
        <v>499</v>
      </c>
      <c r="G4" s="228" t="s">
        <v>183</v>
      </c>
      <c r="H4" s="228" t="s">
        <v>184</v>
      </c>
    </row>
    <row r="5" ht="31.5" customHeight="1">
      <c r="B5" s="338" t="s">
        <v>900</v>
      </c>
      <c r="C5" s="339"/>
      <c r="D5" s="68"/>
      <c r="E5" s="339"/>
      <c r="F5" s="68"/>
      <c r="G5" s="112"/>
      <c r="H5" s="112"/>
    </row>
    <row r="6" ht="33.75" customHeight="1">
      <c r="B6" s="338" t="s">
        <v>960</v>
      </c>
      <c r="C6" s="339"/>
      <c r="D6" s="68"/>
      <c r="E6" s="339"/>
      <c r="F6" s="68"/>
      <c r="G6" s="112"/>
      <c r="H6" s="112"/>
    </row>
    <row r="7">
      <c r="B7" s="99" t="s">
        <v>961</v>
      </c>
      <c r="C7" s="112"/>
      <c r="D7" s="112"/>
      <c r="E7" s="339"/>
      <c r="F7" s="112"/>
      <c r="G7" s="112"/>
      <c r="H7" s="112"/>
    </row>
    <row r="8" ht="28.5" customHeight="1">
      <c r="B8" s="99" t="s">
        <v>962</v>
      </c>
      <c r="C8" s="112"/>
      <c r="D8" s="112"/>
      <c r="E8" s="339"/>
      <c r="F8" s="112"/>
      <c r="G8" s="112"/>
      <c r="H8" s="112"/>
    </row>
    <row r="9" ht="36.0" customHeight="1">
      <c r="B9" s="99" t="s">
        <v>963</v>
      </c>
      <c r="C9" s="112"/>
      <c r="D9" s="228" t="s">
        <v>514</v>
      </c>
      <c r="E9" s="112"/>
      <c r="F9" s="228" t="s">
        <v>514</v>
      </c>
      <c r="G9" s="112"/>
      <c r="H9" s="112"/>
    </row>
    <row r="10" ht="21.75" customHeight="1">
      <c r="B10" s="99" t="s">
        <v>964</v>
      </c>
      <c r="C10" s="112"/>
      <c r="D10" s="228" t="s">
        <v>514</v>
      </c>
      <c r="E10" s="112"/>
      <c r="F10" s="228" t="s">
        <v>514</v>
      </c>
      <c r="G10" s="112"/>
      <c r="H10" s="112"/>
    </row>
    <row r="11" ht="24.0" customHeight="1">
      <c r="B11" s="99" t="s">
        <v>965</v>
      </c>
      <c r="C11" s="339"/>
      <c r="D11" s="68"/>
      <c r="E11" s="339"/>
      <c r="F11" s="68"/>
      <c r="G11" s="112"/>
      <c r="H11" s="112"/>
    </row>
    <row r="12" ht="36.0" customHeight="1">
      <c r="B12" s="99" t="s">
        <v>966</v>
      </c>
      <c r="C12" s="112"/>
      <c r="D12" s="228" t="s">
        <v>491</v>
      </c>
      <c r="E12" s="112"/>
      <c r="F12" s="228" t="s">
        <v>491</v>
      </c>
      <c r="G12" s="112"/>
      <c r="H12" s="112"/>
    </row>
    <row r="13">
      <c r="B13" s="99" t="s">
        <v>967</v>
      </c>
      <c r="C13" s="112"/>
      <c r="D13" s="112"/>
      <c r="E13" s="112"/>
      <c r="F13" s="112"/>
      <c r="G13" s="112"/>
      <c r="H13" s="112"/>
    </row>
    <row r="14" ht="23.25" customHeight="1">
      <c r="B14" s="99" t="s">
        <v>968</v>
      </c>
      <c r="C14" s="112"/>
      <c r="D14" s="228" t="s">
        <v>946</v>
      </c>
      <c r="E14" s="112"/>
      <c r="F14" s="228" t="s">
        <v>946</v>
      </c>
      <c r="G14" s="112"/>
      <c r="H14" s="112"/>
    </row>
    <row r="15" ht="21.0" customHeight="1">
      <c r="B15" s="99" t="s">
        <v>969</v>
      </c>
      <c r="C15" s="339"/>
      <c r="D15" s="68"/>
      <c r="E15" s="339"/>
      <c r="F15" s="68"/>
      <c r="G15" s="112"/>
      <c r="H15" s="112"/>
    </row>
    <row r="16" ht="23.25" customHeight="1">
      <c r="B16" s="99" t="s">
        <v>970</v>
      </c>
      <c r="C16" s="112"/>
      <c r="D16" s="228" t="s">
        <v>971</v>
      </c>
      <c r="E16" s="112"/>
      <c r="F16" s="228" t="s">
        <v>971</v>
      </c>
      <c r="G16" s="112"/>
      <c r="H16" s="112"/>
    </row>
    <row r="17">
      <c r="B17" s="291" t="s">
        <v>759</v>
      </c>
      <c r="C17" s="332"/>
      <c r="D17" s="109"/>
      <c r="E17" s="332"/>
      <c r="F17" s="109"/>
      <c r="G17" s="112"/>
      <c r="H17" s="112"/>
    </row>
    <row r="18">
      <c r="B18" s="291" t="s">
        <v>759</v>
      </c>
      <c r="C18" s="332"/>
      <c r="D18" s="109"/>
      <c r="E18" s="332"/>
      <c r="F18" s="109"/>
      <c r="G18" s="112"/>
      <c r="H18" s="112"/>
    </row>
    <row r="19">
      <c r="B19" s="291" t="s">
        <v>759</v>
      </c>
      <c r="C19" s="332"/>
      <c r="D19" s="109"/>
      <c r="E19" s="332"/>
      <c r="F19" s="109"/>
      <c r="G19" s="112"/>
      <c r="H19" s="112"/>
    </row>
    <row r="20">
      <c r="B20" s="291" t="s">
        <v>759</v>
      </c>
      <c r="C20" s="332"/>
      <c r="D20" s="109"/>
      <c r="E20" s="332"/>
      <c r="F20" s="109"/>
      <c r="G20" s="112"/>
      <c r="H20" s="112"/>
    </row>
    <row r="21" ht="15.75" customHeight="1">
      <c r="B21" s="182"/>
      <c r="C21" s="45"/>
      <c r="D21" s="45"/>
      <c r="E21" s="45"/>
      <c r="F21" s="45"/>
      <c r="G21" s="45"/>
      <c r="H21" s="46"/>
    </row>
    <row r="22" ht="15.75" customHeight="1">
      <c r="B22" s="47"/>
      <c r="H22" s="48"/>
    </row>
    <row r="23" ht="15.75" customHeight="1">
      <c r="B23" s="47"/>
      <c r="H23" s="48"/>
    </row>
    <row r="24" ht="15.75" customHeight="1">
      <c r="B24" s="47"/>
      <c r="H24" s="48"/>
    </row>
    <row r="25" ht="15.75" customHeight="1">
      <c r="B25" s="47"/>
      <c r="H25" s="48"/>
    </row>
    <row r="26" ht="15.75" customHeight="1">
      <c r="B26" s="47"/>
      <c r="H26" s="48"/>
    </row>
    <row r="27" ht="15.75" customHeight="1">
      <c r="B27" s="47"/>
      <c r="H27" s="48"/>
    </row>
    <row r="28" ht="15.75" customHeight="1">
      <c r="B28" s="47"/>
      <c r="H28" s="48"/>
    </row>
    <row r="29" ht="15.75" customHeight="1">
      <c r="B29" s="47"/>
      <c r="H29" s="48"/>
    </row>
    <row r="30" ht="15.75" customHeight="1">
      <c r="B30" s="47"/>
      <c r="H30" s="48"/>
    </row>
    <row r="31" ht="15.75" customHeight="1">
      <c r="B31" s="47"/>
      <c r="H31" s="48"/>
    </row>
    <row r="32" ht="15.75" customHeight="1">
      <c r="B32" s="49"/>
      <c r="C32" s="50"/>
      <c r="D32" s="50"/>
      <c r="E32" s="50"/>
      <c r="F32" s="50"/>
      <c r="G32" s="50"/>
      <c r="H32" s="5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1:D11"/>
    <mergeCell ref="E11:F11"/>
    <mergeCell ref="C15:D15"/>
    <mergeCell ref="E15:F15"/>
    <mergeCell ref="B21:H32"/>
    <mergeCell ref="C2:H2"/>
    <mergeCell ref="C3:D3"/>
    <mergeCell ref="E3:G3"/>
    <mergeCell ref="C5:D5"/>
    <mergeCell ref="E5:F5"/>
    <mergeCell ref="C6:D6"/>
    <mergeCell ref="E6:F6"/>
  </mergeCells>
  <printOptions/>
  <pageMargins bottom="0.75" footer="0.0" header="0.0" left="0.7" right="0.7" top="0.75"/>
  <pageSetup orientation="portrait"/>
  <headerFooter>
    <oddFooter>&amp;LVersion 7&amp;RAugust 2023</oddFooter>
  </headerFooter>
  <colBreaks count="1" manualBreakCount="1">
    <brk id="8" man="1"/>
  </colBrea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7.57"/>
    <col customWidth="1" min="3" max="3" width="24.57"/>
    <col customWidth="1" min="4" max="4" width="7.43"/>
    <col customWidth="1" min="5" max="5" width="21.29"/>
    <col customWidth="1" min="6" max="6" width="6.86"/>
    <col customWidth="1" min="7" max="7" width="14.71"/>
    <col customWidth="1" min="8" max="8" width="14.86"/>
  </cols>
  <sheetData>
    <row r="1">
      <c r="B1" s="334" t="s">
        <v>972</v>
      </c>
    </row>
    <row r="2" ht="17.25" customHeight="1">
      <c r="B2" s="335" t="s">
        <v>973</v>
      </c>
      <c r="C2" s="67"/>
      <c r="D2" s="67"/>
      <c r="E2" s="67"/>
      <c r="F2" s="67"/>
      <c r="G2" s="67"/>
      <c r="H2" s="68"/>
    </row>
    <row r="3" ht="26.25" customHeight="1">
      <c r="B3" s="401" t="s">
        <v>349</v>
      </c>
      <c r="C3" s="124" t="s">
        <v>548</v>
      </c>
      <c r="D3" s="68"/>
      <c r="E3" s="124" t="s">
        <v>549</v>
      </c>
      <c r="F3" s="67"/>
      <c r="G3" s="68"/>
      <c r="H3" s="228"/>
    </row>
    <row r="4" ht="31.5" customHeight="1">
      <c r="B4" s="402"/>
      <c r="C4" s="228" t="s">
        <v>365</v>
      </c>
      <c r="D4" s="99" t="s">
        <v>499</v>
      </c>
      <c r="E4" s="404" t="s">
        <v>365</v>
      </c>
      <c r="F4" s="99" t="s">
        <v>499</v>
      </c>
      <c r="G4" s="228" t="s">
        <v>183</v>
      </c>
      <c r="H4" s="228" t="s">
        <v>184</v>
      </c>
    </row>
    <row r="5" ht="31.5" customHeight="1">
      <c r="B5" s="338" t="s">
        <v>900</v>
      </c>
      <c r="C5" s="339"/>
      <c r="D5" s="68"/>
      <c r="E5" s="339"/>
      <c r="F5" s="68"/>
      <c r="G5" s="112"/>
      <c r="H5" s="112"/>
    </row>
    <row r="6" ht="33.75" customHeight="1">
      <c r="B6" s="338" t="s">
        <v>976</v>
      </c>
      <c r="C6" s="339"/>
      <c r="D6" s="68"/>
      <c r="E6" s="339"/>
      <c r="F6" s="68"/>
      <c r="G6" s="112"/>
      <c r="H6" s="112"/>
    </row>
    <row r="7">
      <c r="B7" s="99" t="s">
        <v>978</v>
      </c>
      <c r="C7" s="112"/>
      <c r="D7" s="112"/>
      <c r="E7" s="339"/>
      <c r="F7" s="112"/>
      <c r="G7" s="112"/>
      <c r="H7" s="112"/>
    </row>
    <row r="8">
      <c r="B8" s="99" t="s">
        <v>980</v>
      </c>
      <c r="C8" s="112"/>
      <c r="D8" s="112"/>
      <c r="E8" s="339"/>
      <c r="F8" s="112"/>
      <c r="G8" s="112"/>
      <c r="H8" s="112"/>
    </row>
    <row r="9" ht="36.0" customHeight="1">
      <c r="B9" s="99" t="s">
        <v>982</v>
      </c>
      <c r="C9" s="112"/>
      <c r="D9" s="228" t="s">
        <v>514</v>
      </c>
      <c r="E9" s="112"/>
      <c r="F9" s="228" t="s">
        <v>514</v>
      </c>
      <c r="G9" s="112"/>
      <c r="H9" s="112"/>
    </row>
    <row r="10" ht="21.75" customHeight="1">
      <c r="B10" s="99" t="s">
        <v>984</v>
      </c>
      <c r="C10" s="112"/>
      <c r="D10" s="228" t="s">
        <v>514</v>
      </c>
      <c r="E10" s="112"/>
      <c r="F10" s="228" t="s">
        <v>514</v>
      </c>
      <c r="G10" s="112"/>
      <c r="H10" s="112"/>
    </row>
    <row r="11" ht="24.0" customHeight="1">
      <c r="B11" s="99" t="s">
        <v>986</v>
      </c>
      <c r="C11" s="339"/>
      <c r="D11" s="68"/>
      <c r="E11" s="339"/>
      <c r="F11" s="68"/>
      <c r="G11" s="112"/>
      <c r="H11" s="112"/>
    </row>
    <row r="12" ht="24.0" customHeight="1">
      <c r="B12" s="99" t="s">
        <v>988</v>
      </c>
      <c r="C12" s="339"/>
      <c r="D12" s="68"/>
      <c r="E12" s="339"/>
      <c r="F12" s="68"/>
      <c r="G12" s="112"/>
      <c r="H12" s="112"/>
    </row>
    <row r="13" ht="36.0" customHeight="1">
      <c r="B13" s="99" t="s">
        <v>991</v>
      </c>
      <c r="C13" s="112"/>
      <c r="D13" s="228" t="s">
        <v>491</v>
      </c>
      <c r="E13" s="112"/>
      <c r="F13" s="228" t="s">
        <v>491</v>
      </c>
      <c r="G13" s="112"/>
      <c r="H13" s="112"/>
    </row>
    <row r="14" ht="24.0" customHeight="1">
      <c r="B14" s="99" t="s">
        <v>993</v>
      </c>
      <c r="C14" s="112"/>
      <c r="D14" s="112"/>
      <c r="E14" s="112"/>
      <c r="F14" s="112"/>
      <c r="G14" s="112"/>
      <c r="H14" s="112"/>
    </row>
    <row r="15" ht="15.0" customHeight="1">
      <c r="B15" s="99" t="s">
        <v>997</v>
      </c>
      <c r="C15" s="112"/>
      <c r="D15" s="228" t="s">
        <v>946</v>
      </c>
      <c r="E15" s="112"/>
      <c r="F15" s="228" t="s">
        <v>946</v>
      </c>
      <c r="G15" s="112"/>
      <c r="H15" s="112"/>
    </row>
    <row r="16" ht="24.0" customHeight="1">
      <c r="B16" s="99" t="s">
        <v>999</v>
      </c>
      <c r="C16" s="339"/>
      <c r="D16" s="68"/>
      <c r="E16" s="339"/>
      <c r="F16" s="68"/>
      <c r="G16" s="112"/>
      <c r="H16" s="112"/>
    </row>
    <row r="17" ht="24.0" customHeight="1">
      <c r="B17" s="99" t="s">
        <v>1001</v>
      </c>
      <c r="C17" s="112"/>
      <c r="D17" s="228" t="s">
        <v>491</v>
      </c>
      <c r="E17" s="112"/>
      <c r="F17" s="228" t="s">
        <v>491</v>
      </c>
      <c r="G17" s="112"/>
      <c r="H17" s="112"/>
    </row>
    <row r="18" ht="24.0" customHeight="1">
      <c r="B18" s="99" t="s">
        <v>1005</v>
      </c>
      <c r="C18" s="112"/>
      <c r="D18" s="112"/>
      <c r="E18" s="112"/>
      <c r="F18" s="112"/>
      <c r="G18" s="112"/>
      <c r="H18" s="112"/>
    </row>
    <row r="19" ht="15.0" customHeight="1">
      <c r="B19" s="99" t="s">
        <v>1006</v>
      </c>
      <c r="C19" s="112"/>
      <c r="D19" s="228" t="s">
        <v>946</v>
      </c>
      <c r="E19" s="112"/>
      <c r="F19" s="228" t="s">
        <v>946</v>
      </c>
      <c r="G19" s="112"/>
      <c r="H19" s="112"/>
    </row>
    <row r="20" ht="23.25" customHeight="1">
      <c r="B20" s="99" t="s">
        <v>1009</v>
      </c>
      <c r="C20" s="339"/>
      <c r="D20" s="68"/>
      <c r="E20" s="339"/>
      <c r="F20" s="68"/>
      <c r="G20" s="112"/>
      <c r="H20" s="112"/>
    </row>
    <row r="21" ht="15.75" customHeight="1">
      <c r="B21" s="291" t="s">
        <v>759</v>
      </c>
      <c r="C21" s="332"/>
      <c r="D21" s="109"/>
      <c r="E21" s="332"/>
      <c r="F21" s="109"/>
      <c r="G21" s="112"/>
      <c r="H21" s="112"/>
    </row>
    <row r="22" ht="15.75" customHeight="1">
      <c r="B22" s="291" t="s">
        <v>759</v>
      </c>
      <c r="C22" s="332"/>
      <c r="D22" s="109"/>
      <c r="E22" s="332"/>
      <c r="F22" s="109"/>
      <c r="G22" s="112"/>
      <c r="H22" s="112"/>
    </row>
    <row r="23" ht="15.75" customHeight="1">
      <c r="B23" s="291" t="s">
        <v>759</v>
      </c>
      <c r="C23" s="332"/>
      <c r="D23" s="109"/>
      <c r="E23" s="332"/>
      <c r="F23" s="109"/>
      <c r="G23" s="112"/>
      <c r="H23" s="112"/>
    </row>
    <row r="24" ht="15.75" customHeight="1">
      <c r="B24" s="291" t="s">
        <v>759</v>
      </c>
      <c r="C24" s="332"/>
      <c r="D24" s="109"/>
      <c r="E24" s="332"/>
      <c r="F24" s="109"/>
      <c r="G24" s="112"/>
      <c r="H24" s="112"/>
    </row>
    <row r="25" ht="15.75" customHeight="1">
      <c r="B25" s="415"/>
      <c r="C25" s="45"/>
      <c r="D25" s="45"/>
      <c r="E25" s="45"/>
      <c r="F25" s="45"/>
      <c r="G25" s="45"/>
      <c r="H25" s="46"/>
    </row>
    <row r="26" ht="15.75" customHeight="1">
      <c r="B26" s="47"/>
      <c r="H26" s="48"/>
    </row>
    <row r="27" ht="15.75" customHeight="1">
      <c r="B27" s="47"/>
      <c r="H27" s="48"/>
    </row>
    <row r="28" ht="15.75" customHeight="1">
      <c r="B28" s="47"/>
      <c r="H28" s="48"/>
    </row>
    <row r="29" ht="15.75" customHeight="1">
      <c r="B29" s="47"/>
      <c r="H29" s="48"/>
    </row>
    <row r="30" ht="15.75" customHeight="1">
      <c r="B30" s="47"/>
      <c r="H30" s="48"/>
    </row>
    <row r="31" ht="15.75" customHeight="1">
      <c r="B31" s="47"/>
      <c r="H31" s="48"/>
    </row>
    <row r="32" ht="15.75" customHeight="1">
      <c r="B32" s="47"/>
      <c r="H32" s="48"/>
    </row>
    <row r="33" ht="15.75" customHeight="1">
      <c r="B33" s="47"/>
      <c r="H33" s="48"/>
    </row>
    <row r="34" ht="15.75" customHeight="1">
      <c r="B34" s="47"/>
      <c r="H34" s="48"/>
    </row>
    <row r="35" ht="15.75" customHeight="1">
      <c r="B35" s="49"/>
      <c r="C35" s="50"/>
      <c r="D35" s="50"/>
      <c r="E35" s="50"/>
      <c r="F35" s="50"/>
      <c r="G35" s="50"/>
      <c r="H35" s="5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H2"/>
    <mergeCell ref="C3:D3"/>
    <mergeCell ref="E3:G3"/>
    <mergeCell ref="C5:D5"/>
    <mergeCell ref="E5:F5"/>
    <mergeCell ref="C6:D6"/>
    <mergeCell ref="E6:F6"/>
    <mergeCell ref="E20:F20"/>
    <mergeCell ref="B25:H35"/>
    <mergeCell ref="C11:D11"/>
    <mergeCell ref="E11:F11"/>
    <mergeCell ref="C12:D12"/>
    <mergeCell ref="E12:F12"/>
    <mergeCell ref="C16:D16"/>
    <mergeCell ref="E16:F16"/>
    <mergeCell ref="C20:D20"/>
  </mergeCells>
  <printOptions/>
  <pageMargins bottom="0.75" footer="0.0" header="0.0" left="0.25" right="0.25" top="0.75"/>
  <pageSetup scale="80" orientation="portrait"/>
  <headerFooter>
    <oddFooter>&amp;LVersion 7&amp;RAugust 2023</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7.57"/>
    <col customWidth="1" min="3" max="3" width="24.57"/>
    <col customWidth="1" min="4" max="4" width="7.43"/>
    <col customWidth="1" min="5" max="5" width="21.29"/>
    <col customWidth="1" min="6" max="6" width="6.86"/>
    <col customWidth="1" min="7" max="7" width="14.71"/>
    <col customWidth="1" min="8" max="8" width="14.86"/>
  </cols>
  <sheetData>
    <row r="1">
      <c r="B1" s="334" t="s">
        <v>974</v>
      </c>
    </row>
    <row r="2" ht="17.25" customHeight="1">
      <c r="B2" s="335" t="s">
        <v>975</v>
      </c>
      <c r="C2" s="67"/>
      <c r="D2" s="67"/>
      <c r="E2" s="67"/>
      <c r="F2" s="67"/>
      <c r="G2" s="67"/>
      <c r="H2" s="68"/>
    </row>
    <row r="3" ht="26.25" customHeight="1">
      <c r="B3" s="401" t="s">
        <v>349</v>
      </c>
      <c r="C3" s="124" t="s">
        <v>548</v>
      </c>
      <c r="D3" s="68"/>
      <c r="E3" s="124" t="s">
        <v>549</v>
      </c>
      <c r="F3" s="67"/>
      <c r="G3" s="68"/>
      <c r="H3" s="228"/>
    </row>
    <row r="4" ht="31.5" customHeight="1">
      <c r="B4" s="402"/>
      <c r="C4" s="228" t="s">
        <v>365</v>
      </c>
      <c r="D4" s="99" t="s">
        <v>499</v>
      </c>
      <c r="E4" s="404" t="s">
        <v>365</v>
      </c>
      <c r="F4" s="99" t="s">
        <v>499</v>
      </c>
      <c r="G4" s="228" t="s">
        <v>183</v>
      </c>
      <c r="H4" s="228" t="s">
        <v>184</v>
      </c>
    </row>
    <row r="5" ht="31.5" customHeight="1">
      <c r="B5" s="338" t="s">
        <v>900</v>
      </c>
      <c r="C5" s="124"/>
      <c r="D5" s="68"/>
      <c r="E5" s="339"/>
      <c r="F5" s="68"/>
      <c r="G5" s="112"/>
      <c r="H5" s="112"/>
    </row>
    <row r="6" ht="33.75" customHeight="1">
      <c r="B6" s="338" t="s">
        <v>977</v>
      </c>
      <c r="C6" s="124" t="s">
        <v>580</v>
      </c>
      <c r="D6" s="68"/>
      <c r="E6" s="339"/>
      <c r="F6" s="68"/>
      <c r="G6" s="112"/>
      <c r="H6" s="112"/>
    </row>
    <row r="7" ht="24.0" customHeight="1">
      <c r="B7" s="99" t="s">
        <v>979</v>
      </c>
      <c r="C7" s="124" t="s">
        <v>580</v>
      </c>
      <c r="D7" s="68"/>
      <c r="E7" s="339"/>
      <c r="F7" s="112"/>
      <c r="G7" s="112"/>
      <c r="H7" s="112"/>
    </row>
    <row r="8" ht="28.5" customHeight="1">
      <c r="B8" s="99" t="s">
        <v>981</v>
      </c>
      <c r="C8" s="124" t="s">
        <v>580</v>
      </c>
      <c r="D8" s="68"/>
      <c r="E8" s="339"/>
      <c r="F8" s="228" t="s">
        <v>514</v>
      </c>
      <c r="G8" s="112"/>
      <c r="H8" s="112"/>
    </row>
    <row r="9" ht="36.0" customHeight="1">
      <c r="B9" s="99" t="s">
        <v>983</v>
      </c>
      <c r="C9" s="124" t="s">
        <v>580</v>
      </c>
      <c r="D9" s="68"/>
      <c r="E9" s="339"/>
      <c r="F9" s="228" t="s">
        <v>514</v>
      </c>
      <c r="G9" s="112"/>
      <c r="H9" s="112"/>
    </row>
    <row r="10" ht="21.75" customHeight="1">
      <c r="B10" s="99" t="s">
        <v>985</v>
      </c>
      <c r="C10" s="124" t="s">
        <v>580</v>
      </c>
      <c r="D10" s="68"/>
      <c r="E10" s="339"/>
      <c r="F10" s="228" t="s">
        <v>514</v>
      </c>
      <c r="G10" s="112"/>
      <c r="H10" s="112"/>
    </row>
    <row r="11" ht="24.0" customHeight="1">
      <c r="B11" s="99" t="s">
        <v>987</v>
      </c>
      <c r="C11" s="124" t="s">
        <v>580</v>
      </c>
      <c r="D11" s="68"/>
      <c r="E11" s="339"/>
      <c r="F11" s="228" t="s">
        <v>514</v>
      </c>
      <c r="G11" s="112"/>
      <c r="H11" s="112"/>
    </row>
    <row r="12" ht="24.0" customHeight="1">
      <c r="B12" s="99" t="s">
        <v>989</v>
      </c>
      <c r="C12" s="124" t="s">
        <v>580</v>
      </c>
      <c r="D12" s="68"/>
      <c r="E12" s="339"/>
      <c r="F12" s="68"/>
      <c r="G12" s="112"/>
      <c r="H12" s="112"/>
    </row>
    <row r="13" ht="36.0" customHeight="1">
      <c r="B13" s="99" t="s">
        <v>990</v>
      </c>
      <c r="C13" s="124" t="s">
        <v>580</v>
      </c>
      <c r="D13" s="68"/>
      <c r="E13" s="339"/>
      <c r="F13" s="68"/>
      <c r="G13" s="112"/>
      <c r="H13" s="112"/>
    </row>
    <row r="14" ht="24.0" customHeight="1">
      <c r="B14" s="99" t="s">
        <v>992</v>
      </c>
      <c r="C14" s="124" t="s">
        <v>580</v>
      </c>
      <c r="D14" s="68"/>
      <c r="E14" s="339"/>
      <c r="F14" s="112"/>
      <c r="G14" s="112"/>
      <c r="H14" s="112"/>
    </row>
    <row r="15" ht="23.25" customHeight="1">
      <c r="B15" s="99" t="s">
        <v>996</v>
      </c>
      <c r="C15" s="124" t="s">
        <v>580</v>
      </c>
      <c r="D15" s="68"/>
      <c r="E15" s="339"/>
      <c r="F15" s="228" t="s">
        <v>491</v>
      </c>
      <c r="G15" s="112"/>
      <c r="H15" s="112"/>
    </row>
    <row r="16" ht="15.0" customHeight="1">
      <c r="B16" s="99" t="s">
        <v>998</v>
      </c>
      <c r="C16" s="124" t="s">
        <v>580</v>
      </c>
      <c r="D16" s="68"/>
      <c r="E16" s="339"/>
      <c r="F16" s="68"/>
      <c r="G16" s="112"/>
      <c r="H16" s="112"/>
    </row>
    <row r="17" ht="24.0" customHeight="1">
      <c r="B17" s="99" t="s">
        <v>1000</v>
      </c>
      <c r="C17" s="124" t="s">
        <v>580</v>
      </c>
      <c r="D17" s="68"/>
      <c r="E17" s="339"/>
      <c r="F17" s="228" t="s">
        <v>1003</v>
      </c>
      <c r="G17" s="112"/>
      <c r="H17" s="112"/>
    </row>
    <row r="18" ht="24.0" customHeight="1">
      <c r="B18" s="99" t="s">
        <v>1004</v>
      </c>
      <c r="C18" s="124" t="s">
        <v>580</v>
      </c>
      <c r="D18" s="68"/>
      <c r="E18" s="339"/>
      <c r="F18" s="228" t="s">
        <v>946</v>
      </c>
      <c r="G18" s="112"/>
      <c r="H18" s="112"/>
    </row>
    <row r="19" ht="24.0" customHeight="1">
      <c r="B19" s="99" t="s">
        <v>1007</v>
      </c>
      <c r="C19" s="124" t="s">
        <v>580</v>
      </c>
      <c r="D19" s="68"/>
      <c r="E19" s="339"/>
      <c r="F19" s="112"/>
      <c r="G19" s="112"/>
      <c r="H19" s="112"/>
    </row>
    <row r="20">
      <c r="B20" s="99" t="s">
        <v>759</v>
      </c>
      <c r="C20" s="124" t="s">
        <v>580</v>
      </c>
      <c r="D20" s="68"/>
      <c r="E20" s="339"/>
      <c r="F20" s="68"/>
      <c r="G20" s="112"/>
      <c r="H20" s="112"/>
    </row>
    <row r="21" ht="15.75" customHeight="1">
      <c r="B21" s="291" t="s">
        <v>759</v>
      </c>
      <c r="C21" s="124" t="s">
        <v>580</v>
      </c>
      <c r="D21" s="68"/>
      <c r="E21" s="332"/>
      <c r="F21" s="109"/>
      <c r="G21" s="112"/>
      <c r="H21" s="112"/>
    </row>
    <row r="22" ht="15.75" customHeight="1">
      <c r="B22" s="291" t="s">
        <v>759</v>
      </c>
      <c r="C22" s="124" t="s">
        <v>580</v>
      </c>
      <c r="D22" s="68"/>
      <c r="E22" s="332"/>
      <c r="F22" s="109"/>
      <c r="G22" s="112"/>
      <c r="H22" s="112"/>
    </row>
    <row r="23" ht="15.75" customHeight="1">
      <c r="B23" s="291" t="s">
        <v>759</v>
      </c>
      <c r="C23" s="124" t="s">
        <v>580</v>
      </c>
      <c r="D23" s="68"/>
      <c r="E23" s="332"/>
      <c r="F23" s="109"/>
      <c r="G23" s="112"/>
      <c r="H23" s="112"/>
    </row>
    <row r="24" ht="15.75" customHeight="1">
      <c r="B24" s="415"/>
      <c r="C24" s="45"/>
      <c r="D24" s="45"/>
      <c r="E24" s="45"/>
      <c r="F24" s="45"/>
      <c r="G24" s="45"/>
      <c r="H24" s="46"/>
    </row>
    <row r="25" ht="15.75" customHeight="1">
      <c r="B25" s="47"/>
      <c r="H25" s="48"/>
    </row>
    <row r="26" ht="15.75" customHeight="1">
      <c r="B26" s="47"/>
      <c r="H26" s="48"/>
    </row>
    <row r="27" ht="15.75" customHeight="1">
      <c r="B27" s="47"/>
      <c r="H27" s="48"/>
    </row>
    <row r="28" ht="15.75" customHeight="1">
      <c r="B28" s="47"/>
      <c r="H28" s="48"/>
    </row>
    <row r="29" ht="15.75" customHeight="1">
      <c r="B29" s="47"/>
      <c r="H29" s="48"/>
    </row>
    <row r="30" ht="15.75" customHeight="1">
      <c r="B30" s="47"/>
      <c r="H30" s="48"/>
    </row>
    <row r="31" ht="15.75" customHeight="1">
      <c r="B31" s="47"/>
      <c r="H31" s="48"/>
    </row>
    <row r="32" ht="15.75" customHeight="1">
      <c r="B32" s="47"/>
      <c r="H32" s="48"/>
    </row>
    <row r="33" ht="15.75" customHeight="1">
      <c r="B33" s="47"/>
      <c r="H33" s="48"/>
    </row>
    <row r="34" ht="15.75" customHeight="1">
      <c r="B34" s="47"/>
      <c r="H34" s="48"/>
    </row>
    <row r="35" ht="15.75" customHeight="1">
      <c r="B35" s="49"/>
      <c r="C35" s="50"/>
      <c r="D35" s="50"/>
      <c r="E35" s="50"/>
      <c r="F35" s="50"/>
      <c r="G35" s="50"/>
      <c r="H35" s="5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2:H2"/>
    <mergeCell ref="C3:D3"/>
    <mergeCell ref="E3:G3"/>
    <mergeCell ref="C5:D5"/>
    <mergeCell ref="E5:F5"/>
    <mergeCell ref="C6:D6"/>
    <mergeCell ref="E6:F6"/>
    <mergeCell ref="C7:D7"/>
    <mergeCell ref="C8:D8"/>
    <mergeCell ref="C9:D9"/>
    <mergeCell ref="C10:D10"/>
    <mergeCell ref="C11:D11"/>
    <mergeCell ref="C12:D12"/>
    <mergeCell ref="E12:F12"/>
    <mergeCell ref="C18:D18"/>
    <mergeCell ref="C19:D19"/>
    <mergeCell ref="C20:D20"/>
    <mergeCell ref="E20:F20"/>
    <mergeCell ref="C21:D21"/>
    <mergeCell ref="C22:D22"/>
    <mergeCell ref="C23:D23"/>
    <mergeCell ref="B24:H35"/>
    <mergeCell ref="C13:D13"/>
    <mergeCell ref="E13:F13"/>
    <mergeCell ref="C14:D14"/>
    <mergeCell ref="C15:D15"/>
    <mergeCell ref="C16:D16"/>
    <mergeCell ref="E16:F16"/>
    <mergeCell ref="C17:D17"/>
  </mergeCells>
  <printOptions/>
  <pageMargins bottom="0.75" footer="0.0" header="0.0" left="0.25" right="0.25" top="0.75"/>
  <pageSetup scale="80" orientation="portrait"/>
  <headerFooter>
    <oddFooter>&amp;LVersion 7&amp;RAugust 2023</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27.57"/>
    <col customWidth="1" min="3" max="3" width="24.57"/>
    <col customWidth="1" min="4" max="4" width="7.43"/>
    <col customWidth="1" min="5" max="5" width="21.29"/>
    <col customWidth="1" min="6" max="6" width="6.86"/>
    <col customWidth="1" min="7" max="7" width="14.71"/>
    <col customWidth="1" min="8" max="8" width="14.86"/>
  </cols>
  <sheetData>
    <row r="1">
      <c r="B1" s="5"/>
      <c r="C1" s="5"/>
    </row>
    <row r="2" ht="17.25" customHeight="1">
      <c r="B2" s="334" t="s">
        <v>994</v>
      </c>
      <c r="C2" s="400" t="s">
        <v>995</v>
      </c>
      <c r="D2" s="67"/>
      <c r="E2" s="67"/>
      <c r="F2" s="67"/>
      <c r="G2" s="67"/>
      <c r="H2" s="68"/>
    </row>
    <row r="3" ht="26.25" customHeight="1">
      <c r="B3" s="401" t="s">
        <v>349</v>
      </c>
      <c r="C3" s="124" t="s">
        <v>548</v>
      </c>
      <c r="D3" s="68"/>
      <c r="E3" s="124" t="s">
        <v>549</v>
      </c>
      <c r="F3" s="67"/>
      <c r="G3" s="68"/>
      <c r="H3" s="228"/>
    </row>
    <row r="4" ht="31.5" customHeight="1">
      <c r="B4" s="402"/>
      <c r="C4" s="228" t="s">
        <v>365</v>
      </c>
      <c r="D4" s="99" t="s">
        <v>499</v>
      </c>
      <c r="E4" s="404" t="s">
        <v>365</v>
      </c>
      <c r="F4" s="99" t="s">
        <v>499</v>
      </c>
      <c r="G4" s="228" t="s">
        <v>183</v>
      </c>
      <c r="H4" s="228" t="s">
        <v>184</v>
      </c>
    </row>
    <row r="5" ht="33.75" customHeight="1">
      <c r="B5" s="411" t="s">
        <v>1002</v>
      </c>
      <c r="C5" s="412" t="s">
        <v>580</v>
      </c>
      <c r="D5" s="68"/>
      <c r="E5" s="413"/>
      <c r="F5" s="68"/>
      <c r="G5" s="414"/>
      <c r="H5" s="414"/>
    </row>
    <row r="6" ht="24.0" customHeight="1">
      <c r="B6" s="411" t="s">
        <v>1008</v>
      </c>
      <c r="C6" s="412" t="s">
        <v>580</v>
      </c>
      <c r="D6" s="68"/>
      <c r="E6" s="413"/>
      <c r="F6" s="68"/>
      <c r="G6" s="414"/>
      <c r="H6" s="414"/>
    </row>
    <row r="7" ht="28.5" customHeight="1">
      <c r="B7" s="411" t="s">
        <v>1010</v>
      </c>
      <c r="C7" s="412" t="s">
        <v>580</v>
      </c>
      <c r="D7" s="68"/>
      <c r="E7" s="413"/>
      <c r="F7" s="411" t="s">
        <v>506</v>
      </c>
      <c r="G7" s="414"/>
      <c r="H7" s="414"/>
    </row>
    <row r="8" ht="36.0" customHeight="1">
      <c r="B8" s="411" t="s">
        <v>1011</v>
      </c>
      <c r="C8" s="412" t="s">
        <v>580</v>
      </c>
      <c r="D8" s="68"/>
      <c r="E8" s="413"/>
      <c r="F8" s="411" t="s">
        <v>650</v>
      </c>
      <c r="G8" s="414"/>
      <c r="H8" s="414"/>
    </row>
    <row r="9" ht="21.75" customHeight="1">
      <c r="B9" s="411" t="s">
        <v>1012</v>
      </c>
      <c r="C9" s="412" t="s">
        <v>580</v>
      </c>
      <c r="D9" s="68"/>
      <c r="E9" s="413"/>
      <c r="F9" s="411" t="s">
        <v>650</v>
      </c>
      <c r="G9" s="414"/>
      <c r="H9" s="414"/>
    </row>
    <row r="10" ht="24.0" customHeight="1">
      <c r="B10" s="411" t="s">
        <v>1013</v>
      </c>
      <c r="C10" s="412" t="s">
        <v>580</v>
      </c>
      <c r="D10" s="68"/>
      <c r="E10" s="413"/>
      <c r="F10" s="68"/>
      <c r="G10" s="414"/>
      <c r="H10" s="414"/>
    </row>
    <row r="11" ht="24.0" customHeight="1">
      <c r="B11" s="411" t="s">
        <v>1014</v>
      </c>
      <c r="C11" s="412" t="s">
        <v>580</v>
      </c>
      <c r="D11" s="68"/>
      <c r="E11" s="413"/>
      <c r="F11" s="68"/>
      <c r="G11" s="414"/>
      <c r="H11" s="414"/>
    </row>
    <row r="12" ht="36.0" customHeight="1">
      <c r="B12" s="411" t="s">
        <v>1015</v>
      </c>
      <c r="C12" s="412" t="s">
        <v>580</v>
      </c>
      <c r="D12" s="68"/>
      <c r="E12" s="413"/>
      <c r="F12" s="68"/>
      <c r="G12" s="414"/>
      <c r="H12" s="414"/>
    </row>
    <row r="13" ht="33.0" customHeight="1">
      <c r="B13" s="411" t="s">
        <v>1016</v>
      </c>
      <c r="C13" s="412" t="s">
        <v>580</v>
      </c>
      <c r="D13" s="68"/>
      <c r="E13" s="413"/>
      <c r="F13" s="68"/>
      <c r="G13" s="414"/>
      <c r="H13" s="414"/>
    </row>
    <row r="14" ht="23.25" customHeight="1">
      <c r="B14" s="411" t="s">
        <v>1017</v>
      </c>
      <c r="C14" s="412" t="s">
        <v>580</v>
      </c>
      <c r="D14" s="68"/>
      <c r="E14" s="413"/>
      <c r="F14" s="68"/>
      <c r="G14" s="414"/>
      <c r="H14" s="414"/>
    </row>
    <row r="15">
      <c r="B15" s="416" t="s">
        <v>759</v>
      </c>
      <c r="C15" s="412" t="s">
        <v>580</v>
      </c>
      <c r="D15" s="68"/>
      <c r="E15" s="413"/>
      <c r="F15" s="68"/>
      <c r="G15" s="414"/>
      <c r="H15" s="417"/>
    </row>
    <row r="16">
      <c r="B16" s="418" t="s">
        <v>759</v>
      </c>
      <c r="C16" s="412" t="s">
        <v>580</v>
      </c>
      <c r="D16" s="68"/>
      <c r="E16" s="413"/>
      <c r="F16" s="68"/>
      <c r="G16" s="414"/>
      <c r="H16" s="414"/>
    </row>
    <row r="17">
      <c r="B17" s="418" t="s">
        <v>759</v>
      </c>
      <c r="C17" s="412" t="s">
        <v>580</v>
      </c>
      <c r="D17" s="68"/>
      <c r="E17" s="413"/>
      <c r="F17" s="68"/>
      <c r="G17" s="414"/>
      <c r="H17" s="414"/>
    </row>
    <row r="18">
      <c r="B18" s="418" t="s">
        <v>759</v>
      </c>
      <c r="C18" s="412" t="s">
        <v>580</v>
      </c>
      <c r="D18" s="68"/>
      <c r="E18" s="413"/>
      <c r="F18" s="68"/>
      <c r="G18" s="414"/>
      <c r="H18" s="414"/>
    </row>
    <row r="19">
      <c r="B19" s="415"/>
      <c r="C19" s="45"/>
      <c r="D19" s="45"/>
      <c r="E19" s="45"/>
      <c r="F19" s="45"/>
      <c r="G19" s="45"/>
      <c r="H19" s="46"/>
    </row>
    <row r="20">
      <c r="B20" s="47"/>
      <c r="H20" s="48"/>
    </row>
    <row r="21" ht="15.75" customHeight="1">
      <c r="B21" s="47"/>
      <c r="H21" s="48"/>
    </row>
    <row r="22" ht="15.75" customHeight="1">
      <c r="B22" s="47"/>
      <c r="H22" s="48"/>
    </row>
    <row r="23" ht="15.75" customHeight="1">
      <c r="B23" s="47"/>
      <c r="H23" s="48"/>
    </row>
    <row r="24" ht="15.75" customHeight="1">
      <c r="B24" s="47"/>
      <c r="H24" s="48"/>
    </row>
    <row r="25" ht="15.75" customHeight="1">
      <c r="B25" s="47"/>
      <c r="H25" s="48"/>
    </row>
    <row r="26" ht="15.75" customHeight="1">
      <c r="B26" s="47"/>
      <c r="H26" s="48"/>
    </row>
    <row r="27" ht="15.75" customHeight="1">
      <c r="B27" s="47"/>
      <c r="H27" s="48"/>
    </row>
    <row r="28" ht="15.75" customHeight="1">
      <c r="B28" s="47"/>
      <c r="H28" s="48"/>
    </row>
    <row r="29" ht="15.75" customHeight="1">
      <c r="B29" s="47"/>
      <c r="H29" s="48"/>
    </row>
    <row r="30" ht="15.75" customHeight="1">
      <c r="B30" s="49"/>
      <c r="C30" s="50"/>
      <c r="D30" s="50"/>
      <c r="E30" s="50"/>
      <c r="F30" s="50"/>
      <c r="G30" s="50"/>
      <c r="H30" s="5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2:H2"/>
    <mergeCell ref="C3:D3"/>
    <mergeCell ref="E3:G3"/>
    <mergeCell ref="C5:D5"/>
    <mergeCell ref="E5:F5"/>
    <mergeCell ref="C6:D6"/>
    <mergeCell ref="E6:F6"/>
    <mergeCell ref="C7:D7"/>
    <mergeCell ref="C8:D8"/>
    <mergeCell ref="C9:D9"/>
    <mergeCell ref="C10:D10"/>
    <mergeCell ref="E10:F10"/>
    <mergeCell ref="C11:D11"/>
    <mergeCell ref="E11:F11"/>
    <mergeCell ref="C15:D15"/>
    <mergeCell ref="C16:D16"/>
    <mergeCell ref="C17:D17"/>
    <mergeCell ref="C18:D18"/>
    <mergeCell ref="E16:F16"/>
    <mergeCell ref="E17:F17"/>
    <mergeCell ref="E18:F18"/>
    <mergeCell ref="B19:H30"/>
    <mergeCell ref="C12:D12"/>
    <mergeCell ref="E12:F12"/>
    <mergeCell ref="C13:D13"/>
    <mergeCell ref="E13:F13"/>
    <mergeCell ref="C14:D14"/>
    <mergeCell ref="E14:F14"/>
    <mergeCell ref="E15:F15"/>
  </mergeCells>
  <printOptions/>
  <pageMargins bottom="0.75" footer="0.0" header="0.0" left="0.25" right="0.25" top="0.75"/>
  <pageSetup scale="80" orientation="portrait"/>
  <headerFooter>
    <oddFooter>&amp;LVersion 7&amp;RAugust 2023</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5.57"/>
    <col customWidth="1" min="3" max="3" width="26.71"/>
    <col customWidth="1" min="4" max="8" width="8.71"/>
  </cols>
  <sheetData>
    <row r="2">
      <c r="A2" s="386" t="s">
        <v>1018</v>
      </c>
      <c r="B2" s="419" t="s">
        <v>1019</v>
      </c>
      <c r="C2" s="419" t="s">
        <v>1020</v>
      </c>
    </row>
    <row r="3">
      <c r="A3" s="11" t="s">
        <v>284</v>
      </c>
      <c r="B3" s="11" t="s">
        <v>1022</v>
      </c>
      <c r="C3" s="11" t="s">
        <v>670</v>
      </c>
    </row>
    <row r="4">
      <c r="A4" s="11" t="s">
        <v>284</v>
      </c>
      <c r="B4" s="11" t="s">
        <v>1022</v>
      </c>
      <c r="C4" s="11" t="s">
        <v>284</v>
      </c>
      <c r="G4" s="11" t="s">
        <v>934</v>
      </c>
      <c r="H4" s="11" t="s">
        <v>1025</v>
      </c>
    </row>
    <row r="5">
      <c r="A5" s="11" t="s">
        <v>284</v>
      </c>
      <c r="B5" s="11" t="s">
        <v>286</v>
      </c>
      <c r="C5" s="11" t="s">
        <v>284</v>
      </c>
      <c r="G5" s="11" t="s">
        <v>938</v>
      </c>
      <c r="H5" s="11" t="s">
        <v>1029</v>
      </c>
    </row>
    <row r="6">
      <c r="A6" s="11" t="s">
        <v>288</v>
      </c>
      <c r="B6" s="11" t="s">
        <v>1022</v>
      </c>
      <c r="C6" s="11" t="s">
        <v>671</v>
      </c>
      <c r="G6" s="11" t="s">
        <v>940</v>
      </c>
      <c r="H6" s="11" t="s">
        <v>1030</v>
      </c>
    </row>
    <row r="7">
      <c r="A7" s="11" t="s">
        <v>288</v>
      </c>
      <c r="B7" s="11" t="s">
        <v>1022</v>
      </c>
      <c r="C7" s="11" t="s">
        <v>672</v>
      </c>
      <c r="G7" s="11" t="s">
        <v>1032</v>
      </c>
    </row>
    <row r="8">
      <c r="A8" s="11" t="s">
        <v>289</v>
      </c>
      <c r="B8" s="11" t="s">
        <v>289</v>
      </c>
      <c r="C8" s="11" t="s">
        <v>1033</v>
      </c>
      <c r="G8" s="11" t="s">
        <v>942</v>
      </c>
    </row>
    <row r="9">
      <c r="A9" s="11" t="s">
        <v>289</v>
      </c>
      <c r="B9" s="11" t="s">
        <v>289</v>
      </c>
      <c r="C9" s="11" t="s">
        <v>683</v>
      </c>
      <c r="G9" s="11" t="s">
        <v>943</v>
      </c>
    </row>
    <row r="10">
      <c r="A10" s="11" t="s">
        <v>239</v>
      </c>
      <c r="B10" s="11" t="s">
        <v>239</v>
      </c>
      <c r="C10" s="11" t="s">
        <v>239</v>
      </c>
      <c r="G10" s="11" t="s">
        <v>944</v>
      </c>
    </row>
    <row r="11">
      <c r="A11" s="11" t="s">
        <v>290</v>
      </c>
      <c r="B11" s="11" t="s">
        <v>1022</v>
      </c>
      <c r="C11" s="11" t="s">
        <v>1039</v>
      </c>
      <c r="G11" s="11" t="s">
        <v>1040</v>
      </c>
    </row>
    <row r="12">
      <c r="A12" s="11" t="s">
        <v>290</v>
      </c>
      <c r="B12" s="11" t="s">
        <v>1022</v>
      </c>
      <c r="C12" s="11" t="s">
        <v>1042</v>
      </c>
      <c r="G12" s="11" t="s">
        <v>1044</v>
      </c>
    </row>
    <row r="13">
      <c r="A13" s="11" t="s">
        <v>290</v>
      </c>
      <c r="B13" s="11" t="s">
        <v>1022</v>
      </c>
      <c r="C13" s="11" t="s">
        <v>1046</v>
      </c>
      <c r="G13" s="11" t="s">
        <v>1047</v>
      </c>
    </row>
    <row r="14">
      <c r="A14" s="11" t="s">
        <v>291</v>
      </c>
      <c r="B14" s="11" t="s">
        <v>1022</v>
      </c>
      <c r="C14" s="11" t="s">
        <v>703</v>
      </c>
      <c r="G14" s="11" t="s">
        <v>947</v>
      </c>
    </row>
    <row r="15">
      <c r="A15" s="11" t="s">
        <v>291</v>
      </c>
      <c r="B15" s="11" t="s">
        <v>1022</v>
      </c>
      <c r="C15" s="11" t="s">
        <v>704</v>
      </c>
      <c r="G15" s="11" t="s">
        <v>948</v>
      </c>
    </row>
    <row r="16">
      <c r="A16" s="11" t="s">
        <v>292</v>
      </c>
      <c r="B16" s="11" t="s">
        <v>1022</v>
      </c>
      <c r="C16" s="11" t="s">
        <v>709</v>
      </c>
      <c r="G16" s="11" t="s">
        <v>949</v>
      </c>
    </row>
    <row r="17">
      <c r="A17" s="11" t="s">
        <v>292</v>
      </c>
      <c r="B17" s="11" t="s">
        <v>1022</v>
      </c>
      <c r="C17" s="11" t="s">
        <v>710</v>
      </c>
      <c r="G17" s="11" t="s">
        <v>951</v>
      </c>
    </row>
    <row r="18">
      <c r="A18" s="11" t="s">
        <v>293</v>
      </c>
      <c r="B18" s="11" t="s">
        <v>1022</v>
      </c>
      <c r="C18" s="11" t="s">
        <v>714</v>
      </c>
    </row>
    <row r="19">
      <c r="A19" s="11" t="s">
        <v>293</v>
      </c>
      <c r="B19" s="11" t="s">
        <v>1022</v>
      </c>
      <c r="C19" s="11" t="s">
        <v>721</v>
      </c>
    </row>
    <row r="20">
      <c r="A20" s="11" t="s">
        <v>294</v>
      </c>
      <c r="B20" s="11" t="s">
        <v>1022</v>
      </c>
      <c r="C20" s="11" t="s">
        <v>723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C31" s="11" t="s">
        <v>278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4" width="4.71"/>
    <col customWidth="1" min="5" max="5" width="47.14"/>
    <col customWidth="1" min="6" max="6" width="5.29"/>
    <col customWidth="1" min="7" max="9" width="8.71"/>
  </cols>
  <sheetData>
    <row r="1" ht="102.75" customHeight="1">
      <c r="A1" s="420" t="s">
        <v>1021</v>
      </c>
      <c r="B1" s="421" t="s">
        <v>1023</v>
      </c>
      <c r="C1" s="421" t="s">
        <v>1024</v>
      </c>
      <c r="D1" s="421"/>
      <c r="E1" s="420" t="s">
        <v>1026</v>
      </c>
      <c r="F1" s="421" t="s">
        <v>1027</v>
      </c>
      <c r="I1" s="420" t="s">
        <v>1028</v>
      </c>
    </row>
    <row r="2">
      <c r="A2" s="397" t="s">
        <v>890</v>
      </c>
      <c r="B2" s="422">
        <v>0.64</v>
      </c>
      <c r="C2" s="422">
        <v>0.9</v>
      </c>
      <c r="D2" s="422"/>
      <c r="E2" s="397" t="s">
        <v>1031</v>
      </c>
      <c r="F2" s="422">
        <v>0.03</v>
      </c>
      <c r="G2" s="422">
        <v>0.0375</v>
      </c>
      <c r="I2" s="11" t="s">
        <v>814</v>
      </c>
    </row>
    <row r="3">
      <c r="A3" s="397" t="s">
        <v>896</v>
      </c>
      <c r="B3" s="422">
        <v>0.7</v>
      </c>
      <c r="C3" s="422">
        <v>1.2</v>
      </c>
      <c r="D3" s="422"/>
      <c r="E3" s="397" t="s">
        <v>1034</v>
      </c>
      <c r="F3" s="422">
        <v>0.03</v>
      </c>
      <c r="G3" s="422">
        <v>0.0375</v>
      </c>
      <c r="I3" s="11" t="s">
        <v>1035</v>
      </c>
    </row>
    <row r="4">
      <c r="A4" s="397" t="s">
        <v>897</v>
      </c>
      <c r="B4" s="422">
        <v>0.74</v>
      </c>
      <c r="C4" s="422">
        <v>1.2</v>
      </c>
      <c r="D4" s="422"/>
      <c r="E4" s="397" t="s">
        <v>1036</v>
      </c>
      <c r="F4" s="422">
        <v>0.43</v>
      </c>
      <c r="G4" s="260">
        <v>0.9</v>
      </c>
      <c r="I4" s="11" t="s">
        <v>1037</v>
      </c>
    </row>
    <row r="5">
      <c r="A5" s="397" t="s">
        <v>898</v>
      </c>
      <c r="B5" s="422">
        <v>0.69</v>
      </c>
      <c r="C5" s="422">
        <v>1.3</v>
      </c>
      <c r="D5" s="422"/>
      <c r="E5" s="397" t="s">
        <v>1038</v>
      </c>
      <c r="F5" s="422">
        <v>0.63</v>
      </c>
      <c r="G5" s="260">
        <v>0.9</v>
      </c>
      <c r="I5" s="11" t="s">
        <v>1041</v>
      </c>
    </row>
    <row r="6">
      <c r="A6" s="397" t="s">
        <v>899</v>
      </c>
      <c r="B6" s="422">
        <v>0.66</v>
      </c>
      <c r="C6" s="422">
        <v>1.4</v>
      </c>
      <c r="D6" s="422"/>
      <c r="E6" s="397" t="s">
        <v>1043</v>
      </c>
      <c r="F6" s="422">
        <v>0.65</v>
      </c>
      <c r="G6" s="260">
        <v>0.7</v>
      </c>
      <c r="I6" s="11" t="s">
        <v>1045</v>
      </c>
    </row>
    <row r="7">
      <c r="A7" s="397" t="s">
        <v>901</v>
      </c>
      <c r="B7" s="422">
        <v>0.61</v>
      </c>
      <c r="C7" s="422">
        <v>1.6</v>
      </c>
      <c r="D7" s="422"/>
      <c r="E7" s="397" t="s">
        <v>1048</v>
      </c>
      <c r="F7" s="422">
        <v>0.43</v>
      </c>
      <c r="G7" s="260">
        <v>0.3</v>
      </c>
    </row>
    <row r="8">
      <c r="A8" s="397" t="s">
        <v>286</v>
      </c>
      <c r="B8" s="422">
        <v>0.52</v>
      </c>
      <c r="C8" s="422">
        <v>1.0</v>
      </c>
      <c r="D8" s="422"/>
      <c r="E8" s="397" t="s">
        <v>1049</v>
      </c>
      <c r="F8" s="422">
        <v>0.43</v>
      </c>
      <c r="G8" s="260">
        <v>0.4</v>
      </c>
    </row>
    <row r="9">
      <c r="A9" s="397" t="s">
        <v>902</v>
      </c>
      <c r="B9" s="422">
        <v>0.65</v>
      </c>
      <c r="C9" s="422">
        <v>1.0</v>
      </c>
      <c r="D9" s="422"/>
      <c r="E9" s="397" t="s">
        <v>1050</v>
      </c>
      <c r="F9" s="422">
        <v>0.64</v>
      </c>
      <c r="G9" s="260">
        <v>1.2</v>
      </c>
    </row>
    <row r="10">
      <c r="A10" s="397" t="s">
        <v>904</v>
      </c>
      <c r="B10" s="422">
        <v>0.5</v>
      </c>
      <c r="C10" s="422">
        <v>1.0</v>
      </c>
      <c r="D10" s="422"/>
      <c r="E10" s="397" t="s">
        <v>1051</v>
      </c>
      <c r="F10" s="422">
        <v>0.28</v>
      </c>
      <c r="G10" s="260">
        <v>0.7</v>
      </c>
    </row>
    <row r="11">
      <c r="A11" s="397" t="s">
        <v>905</v>
      </c>
      <c r="B11" s="422">
        <v>0.67</v>
      </c>
      <c r="C11" s="422">
        <v>1.1</v>
      </c>
      <c r="D11" s="422"/>
      <c r="E11" s="397" t="s">
        <v>1052</v>
      </c>
      <c r="F11" s="422">
        <v>2.03</v>
      </c>
      <c r="G11" s="260">
        <v>2.6</v>
      </c>
    </row>
    <row r="12">
      <c r="A12" s="397" t="s">
        <v>906</v>
      </c>
      <c r="B12" s="422">
        <v>0.68</v>
      </c>
      <c r="C12" s="422">
        <v>1.0</v>
      </c>
      <c r="D12" s="422"/>
      <c r="E12" s="397" t="s">
        <v>1053</v>
      </c>
      <c r="F12" s="422">
        <v>1.53</v>
      </c>
      <c r="G12" s="260">
        <v>1.7</v>
      </c>
    </row>
    <row r="13">
      <c r="A13" s="397" t="s">
        <v>672</v>
      </c>
      <c r="B13" s="422">
        <v>0.86</v>
      </c>
      <c r="C13" s="422">
        <v>1.2</v>
      </c>
      <c r="D13" s="422"/>
      <c r="E13" s="397" t="s">
        <v>1054</v>
      </c>
      <c r="F13" s="422">
        <v>0.42</v>
      </c>
      <c r="G13" s="260">
        <v>0.4</v>
      </c>
    </row>
    <row r="14">
      <c r="A14" s="397" t="s">
        <v>909</v>
      </c>
      <c r="B14" s="422">
        <v>0.7</v>
      </c>
      <c r="C14" s="422">
        <v>1.09</v>
      </c>
      <c r="D14" s="422"/>
      <c r="E14" s="397" t="s">
        <v>1056</v>
      </c>
      <c r="F14" s="422">
        <v>0.4</v>
      </c>
      <c r="G14" s="260">
        <v>0.5</v>
      </c>
    </row>
    <row r="15">
      <c r="A15" s="397" t="s">
        <v>910</v>
      </c>
      <c r="B15" s="422">
        <v>0.78</v>
      </c>
      <c r="C15" s="422">
        <v>1.3</v>
      </c>
      <c r="D15" s="422"/>
      <c r="E15" s="397" t="s">
        <v>1057</v>
      </c>
      <c r="F15" s="422">
        <v>0.53</v>
      </c>
      <c r="G15" s="260">
        <v>0.7</v>
      </c>
    </row>
    <row r="16">
      <c r="A16" s="397" t="s">
        <v>912</v>
      </c>
      <c r="B16" s="422">
        <v>0.6</v>
      </c>
      <c r="C16" s="422">
        <v>1.17</v>
      </c>
      <c r="D16" s="422"/>
      <c r="E16" s="397" t="s">
        <v>1058</v>
      </c>
      <c r="F16" s="422">
        <v>0.79</v>
      </c>
      <c r="G16" s="260">
        <v>1.5</v>
      </c>
    </row>
    <row r="17">
      <c r="A17" s="397" t="s">
        <v>913</v>
      </c>
      <c r="B17" s="422">
        <v>0.62</v>
      </c>
      <c r="C17" s="422">
        <v>1.2</v>
      </c>
      <c r="D17" s="422"/>
      <c r="E17" s="397" t="s">
        <v>1059</v>
      </c>
      <c r="F17" s="422">
        <v>0.74</v>
      </c>
      <c r="G17" s="260">
        <v>1.4</v>
      </c>
    </row>
    <row r="18">
      <c r="A18" s="397" t="s">
        <v>239</v>
      </c>
      <c r="B18" s="422">
        <v>0.49</v>
      </c>
      <c r="C18" s="422">
        <v>0.7</v>
      </c>
      <c r="D18" s="422"/>
      <c r="E18" s="397" t="s">
        <v>1060</v>
      </c>
      <c r="F18" s="422">
        <v>1.06</v>
      </c>
      <c r="G18" s="260">
        <v>1.3</v>
      </c>
    </row>
    <row r="19">
      <c r="A19" s="397" t="s">
        <v>915</v>
      </c>
      <c r="B19" s="422">
        <v>0.68</v>
      </c>
      <c r="C19" s="422">
        <v>1.1</v>
      </c>
      <c r="D19" s="422"/>
      <c r="E19" s="397" t="s">
        <v>1061</v>
      </c>
      <c r="F19" s="422">
        <v>1.16</v>
      </c>
      <c r="G19" s="260">
        <v>2.14</v>
      </c>
    </row>
    <row r="20">
      <c r="A20" s="397" t="s">
        <v>290</v>
      </c>
      <c r="B20" s="422">
        <v>0.69</v>
      </c>
      <c r="C20" s="422">
        <v>1.0</v>
      </c>
      <c r="D20" s="422"/>
      <c r="E20" s="426" t="s">
        <v>1063</v>
      </c>
      <c r="F20" s="422">
        <v>0.93</v>
      </c>
      <c r="G20" s="260">
        <v>1.3</v>
      </c>
    </row>
    <row r="21" ht="15.75" customHeight="1">
      <c r="A21" s="397" t="s">
        <v>917</v>
      </c>
      <c r="B21" s="422">
        <v>0.12</v>
      </c>
      <c r="C21" s="422">
        <v>0.3</v>
      </c>
      <c r="D21" s="422"/>
      <c r="E21" s="426" t="s">
        <v>1064</v>
      </c>
      <c r="F21" s="422">
        <v>0.52</v>
      </c>
      <c r="G21" s="260">
        <v>0.9</v>
      </c>
    </row>
    <row r="22" ht="15.75" customHeight="1">
      <c r="A22" s="397" t="s">
        <v>918</v>
      </c>
      <c r="B22" s="422">
        <v>0.67</v>
      </c>
      <c r="C22" s="422">
        <v>1.0</v>
      </c>
      <c r="D22" s="422"/>
      <c r="E22" s="397" t="s">
        <v>1065</v>
      </c>
      <c r="F22" s="422">
        <v>0.69</v>
      </c>
      <c r="G22" s="260">
        <v>1.3</v>
      </c>
    </row>
    <row r="23" ht="15.75" customHeight="1">
      <c r="A23" s="397" t="s">
        <v>919</v>
      </c>
      <c r="B23" s="422">
        <v>0.85</v>
      </c>
      <c r="C23" s="422">
        <v>1.6</v>
      </c>
      <c r="D23" s="422"/>
      <c r="E23" s="426" t="s">
        <v>1067</v>
      </c>
      <c r="F23" s="422">
        <v>0.5</v>
      </c>
      <c r="G23" s="260">
        <v>0.9</v>
      </c>
    </row>
    <row r="24" ht="15.75" customHeight="1">
      <c r="A24" s="397" t="s">
        <v>920</v>
      </c>
      <c r="B24" s="422">
        <v>0.68</v>
      </c>
      <c r="C24" s="422">
        <v>1.0</v>
      </c>
      <c r="D24" s="422"/>
      <c r="E24" s="397" t="s">
        <v>1068</v>
      </c>
      <c r="F24" s="422">
        <v>0.58</v>
      </c>
      <c r="G24" s="260">
        <v>0.5</v>
      </c>
    </row>
    <row r="25" ht="15.75" customHeight="1">
      <c r="A25" s="397" t="s">
        <v>921</v>
      </c>
      <c r="B25" s="422">
        <v>0.62</v>
      </c>
      <c r="C25" s="422">
        <v>1.1</v>
      </c>
      <c r="D25" s="422"/>
      <c r="E25" s="426" t="s">
        <v>1069</v>
      </c>
      <c r="F25" s="422">
        <v>0.81</v>
      </c>
      <c r="G25" s="260">
        <v>1.15</v>
      </c>
    </row>
    <row r="26" ht="15.75" customHeight="1">
      <c r="A26" s="397" t="s">
        <v>923</v>
      </c>
      <c r="B26" s="422">
        <v>0.72</v>
      </c>
      <c r="C26" s="422">
        <v>1.3</v>
      </c>
      <c r="D26" s="422"/>
      <c r="E26" s="426" t="s">
        <v>1070</v>
      </c>
      <c r="F26" s="422">
        <v>0.81</v>
      </c>
      <c r="G26" s="260">
        <v>1.0</v>
      </c>
    </row>
    <row r="27" ht="15.75" customHeight="1">
      <c r="A27" s="397" t="s">
        <v>292</v>
      </c>
      <c r="B27" s="422">
        <v>0.91</v>
      </c>
      <c r="C27" s="422">
        <v>1.5</v>
      </c>
      <c r="D27" s="422"/>
      <c r="E27" s="426" t="s">
        <v>1072</v>
      </c>
      <c r="F27" s="422">
        <v>0.28</v>
      </c>
      <c r="G27" s="260">
        <v>0.5</v>
      </c>
    </row>
    <row r="28" ht="15.75" customHeight="1">
      <c r="A28" s="397" t="s">
        <v>924</v>
      </c>
      <c r="B28" s="422">
        <v>0.67</v>
      </c>
      <c r="C28" s="422">
        <v>1.2</v>
      </c>
      <c r="D28" s="422"/>
      <c r="E28" s="397" t="s">
        <v>1073</v>
      </c>
      <c r="F28" s="422">
        <v>1.06</v>
      </c>
      <c r="G28" s="260">
        <v>1.9</v>
      </c>
    </row>
    <row r="29" ht="15.75" customHeight="1">
      <c r="A29" s="397" t="s">
        <v>925</v>
      </c>
      <c r="B29" s="422">
        <v>0.76</v>
      </c>
      <c r="C29" s="422">
        <v>1.1</v>
      </c>
      <c r="D29" s="422"/>
      <c r="E29" s="397" t="s">
        <v>1074</v>
      </c>
      <c r="F29" s="422">
        <v>0.53</v>
      </c>
      <c r="G29" s="260">
        <v>0.9</v>
      </c>
    </row>
    <row r="30" ht="15.75" customHeight="1">
      <c r="A30" s="397" t="s">
        <v>926</v>
      </c>
      <c r="B30" s="422">
        <v>0.72</v>
      </c>
      <c r="C30" s="422">
        <v>1.1</v>
      </c>
      <c r="D30" s="422"/>
      <c r="E30" s="397" t="s">
        <v>1076</v>
      </c>
      <c r="F30" s="422">
        <v>0.62</v>
      </c>
      <c r="G30" s="260">
        <v>1.4</v>
      </c>
    </row>
    <row r="31" ht="15.75" customHeight="1">
      <c r="A31" s="397" t="s">
        <v>928</v>
      </c>
      <c r="B31" s="422">
        <v>0.51</v>
      </c>
      <c r="C31" s="422">
        <v>1.0</v>
      </c>
      <c r="D31" s="422"/>
      <c r="E31" s="397" t="s">
        <v>1077</v>
      </c>
      <c r="F31" s="422">
        <v>0.53</v>
      </c>
      <c r="G31" s="260">
        <v>0.9</v>
      </c>
    </row>
    <row r="32" ht="15.75" customHeight="1">
      <c r="A32" s="397" t="s">
        <v>294</v>
      </c>
      <c r="B32" s="422">
        <v>0.41</v>
      </c>
      <c r="C32" s="422">
        <v>0.8</v>
      </c>
      <c r="D32" s="422"/>
      <c r="E32" s="397" t="s">
        <v>1078</v>
      </c>
      <c r="F32" s="422">
        <v>1.48</v>
      </c>
      <c r="G32" s="260">
        <v>3.32</v>
      </c>
    </row>
    <row r="33" ht="15.75" customHeight="1">
      <c r="A33" s="397" t="s">
        <v>929</v>
      </c>
      <c r="B33" s="422">
        <v>0.83</v>
      </c>
      <c r="C33" s="422">
        <v>1.4</v>
      </c>
      <c r="D33" s="422"/>
      <c r="E33" s="397" t="s">
        <v>1079</v>
      </c>
      <c r="F33" s="422">
        <v>0.54</v>
      </c>
      <c r="G33" s="260">
        <v>2.1</v>
      </c>
    </row>
    <row r="34" ht="15.75" customHeight="1">
      <c r="A34" s="397"/>
      <c r="B34" s="422"/>
      <c r="C34" s="422"/>
      <c r="D34" s="422"/>
      <c r="E34" s="397" t="s">
        <v>1081</v>
      </c>
      <c r="F34" s="422">
        <v>0.72</v>
      </c>
      <c r="G34" s="260">
        <v>1.3</v>
      </c>
    </row>
    <row r="35" ht="15.75" customHeight="1">
      <c r="A35" s="397"/>
      <c r="B35" s="422"/>
      <c r="C35" s="422"/>
      <c r="D35" s="422"/>
      <c r="E35" s="397" t="s">
        <v>1082</v>
      </c>
      <c r="F35" s="422">
        <v>0.46</v>
      </c>
      <c r="G35" s="260">
        <v>1.11</v>
      </c>
    </row>
    <row r="36" ht="15.75" customHeight="1">
      <c r="A36" s="397"/>
      <c r="B36" s="422"/>
      <c r="C36" s="422"/>
      <c r="D36" s="422"/>
      <c r="E36" s="397" t="s">
        <v>1083</v>
      </c>
      <c r="F36" s="422">
        <v>0.39</v>
      </c>
      <c r="G36" s="260">
        <v>1.5</v>
      </c>
    </row>
    <row r="37" ht="15.75" customHeight="1">
      <c r="A37" s="397"/>
      <c r="B37" s="422"/>
      <c r="C37" s="422"/>
      <c r="D37" s="422"/>
      <c r="E37" s="397" t="s">
        <v>1084</v>
      </c>
      <c r="F37" s="422">
        <v>0.41</v>
      </c>
      <c r="G37" s="260">
        <v>0.8</v>
      </c>
    </row>
    <row r="38" ht="15.75" customHeight="1">
      <c r="A38" s="397"/>
      <c r="B38" s="422"/>
      <c r="C38" s="422"/>
      <c r="D38" s="422"/>
      <c r="E38" s="397" t="s">
        <v>1085</v>
      </c>
      <c r="F38" s="422">
        <v>0.89</v>
      </c>
      <c r="G38" s="260">
        <v>2.77</v>
      </c>
    </row>
    <row r="39" ht="15.75" customHeight="1">
      <c r="A39" s="397"/>
      <c r="B39" s="422"/>
      <c r="C39" s="422"/>
      <c r="D39" s="422"/>
      <c r="E39" s="397" t="s">
        <v>1086</v>
      </c>
      <c r="F39" s="422">
        <v>1.53</v>
      </c>
      <c r="G39" s="260">
        <v>3.02</v>
      </c>
    </row>
    <row r="40" ht="15.75" customHeight="1">
      <c r="A40" s="397"/>
      <c r="B40" s="422"/>
      <c r="C40" s="422"/>
      <c r="D40" s="422"/>
      <c r="E40" s="397" t="s">
        <v>1087</v>
      </c>
      <c r="F40" s="422">
        <v>0.19</v>
      </c>
      <c r="G40" s="260">
        <v>0.3</v>
      </c>
    </row>
    <row r="41" ht="15.75" customHeight="1">
      <c r="A41" s="397"/>
      <c r="B41" s="422"/>
      <c r="C41" s="422"/>
      <c r="D41" s="422"/>
      <c r="E41" s="397" t="s">
        <v>1088</v>
      </c>
      <c r="F41" s="422">
        <v>0.92</v>
      </c>
      <c r="G41" s="260">
        <v>1.2</v>
      </c>
    </row>
    <row r="42" ht="15.75" customHeight="1">
      <c r="A42" s="397"/>
      <c r="B42" s="422"/>
      <c r="C42" s="422"/>
      <c r="D42" s="422"/>
      <c r="E42" s="397" t="s">
        <v>1089</v>
      </c>
      <c r="F42" s="422">
        <v>0.75</v>
      </c>
      <c r="G42" s="260">
        <v>1.14</v>
      </c>
    </row>
    <row r="43" ht="15.75" customHeight="1">
      <c r="A43" s="397"/>
      <c r="B43" s="422"/>
      <c r="C43" s="422"/>
      <c r="D43" s="422"/>
      <c r="E43" s="397" t="s">
        <v>1090</v>
      </c>
      <c r="F43" s="422">
        <v>0.75</v>
      </c>
      <c r="G43" s="260">
        <v>1.4</v>
      </c>
    </row>
    <row r="44" ht="15.75" customHeight="1">
      <c r="A44" s="397"/>
      <c r="B44" s="422"/>
      <c r="C44" s="422"/>
      <c r="D44" s="422"/>
      <c r="E44" s="397" t="s">
        <v>1091</v>
      </c>
      <c r="F44" s="422">
        <v>0.5</v>
      </c>
      <c r="G44" s="260">
        <v>0.9</v>
      </c>
    </row>
    <row r="45" ht="15.75" customHeight="1">
      <c r="A45" s="397"/>
      <c r="B45" s="422"/>
      <c r="C45" s="422"/>
      <c r="D45" s="422"/>
      <c r="E45" s="397" t="s">
        <v>1092</v>
      </c>
      <c r="F45" s="422">
        <v>1.16</v>
      </c>
      <c r="G45" s="260">
        <v>1.5</v>
      </c>
    </row>
    <row r="46" ht="15.75" customHeight="1">
      <c r="A46" s="397"/>
      <c r="B46" s="422"/>
      <c r="C46" s="422"/>
      <c r="D46" s="422"/>
      <c r="E46" s="397" t="s">
        <v>1093</v>
      </c>
      <c r="F46" s="422">
        <v>0.98</v>
      </c>
      <c r="G46" s="260">
        <v>0.4</v>
      </c>
    </row>
    <row r="47" ht="15.75" customHeight="1">
      <c r="A47" s="397"/>
      <c r="B47" s="422"/>
      <c r="C47" s="422"/>
      <c r="D47" s="422"/>
      <c r="E47" s="397" t="s">
        <v>1095</v>
      </c>
      <c r="F47" s="422">
        <v>0.54</v>
      </c>
      <c r="G47" s="260">
        <v>1.4</v>
      </c>
    </row>
    <row r="48" ht="15.75" customHeight="1">
      <c r="A48" s="397"/>
      <c r="B48" s="422"/>
      <c r="C48" s="422"/>
      <c r="D48" s="422"/>
      <c r="E48" s="397" t="s">
        <v>1097</v>
      </c>
      <c r="F48" s="422">
        <v>0.94</v>
      </c>
      <c r="G48" s="260">
        <v>0.6</v>
      </c>
    </row>
    <row r="49" ht="15.75" customHeight="1">
      <c r="A49" s="397"/>
      <c r="B49" s="422"/>
      <c r="C49" s="422"/>
      <c r="D49" s="422"/>
      <c r="E49" s="397" t="s">
        <v>1098</v>
      </c>
      <c r="F49" s="422">
        <v>0.75</v>
      </c>
      <c r="G49" s="260">
        <v>1.0</v>
      </c>
    </row>
    <row r="50" ht="15.75" customHeight="1">
      <c r="A50" s="397"/>
      <c r="B50" s="422"/>
      <c r="C50" s="422"/>
      <c r="D50" s="422"/>
      <c r="E50" s="397" t="s">
        <v>1100</v>
      </c>
      <c r="F50" s="422">
        <v>1.87</v>
      </c>
      <c r="G50" s="260">
        <v>2.2</v>
      </c>
    </row>
    <row r="51" ht="15.75" customHeight="1">
      <c r="A51" s="397"/>
      <c r="B51" s="422"/>
      <c r="C51" s="422"/>
      <c r="D51" s="422"/>
      <c r="E51" s="397" t="s">
        <v>1101</v>
      </c>
      <c r="F51" s="422">
        <v>0.45</v>
      </c>
      <c r="G51" s="260">
        <v>0.7</v>
      </c>
    </row>
    <row r="52" ht="15.75" customHeight="1">
      <c r="A52" s="397"/>
      <c r="B52" s="422"/>
      <c r="C52" s="422"/>
      <c r="D52" s="422"/>
      <c r="E52" s="397" t="s">
        <v>1102</v>
      </c>
      <c r="F52" s="422">
        <v>0.84</v>
      </c>
      <c r="G52" s="260">
        <v>0.9</v>
      </c>
    </row>
    <row r="53" ht="15.75" customHeight="1">
      <c r="A53" s="397"/>
      <c r="B53" s="422"/>
      <c r="C53" s="422"/>
      <c r="D53" s="422"/>
      <c r="E53" s="397" t="s">
        <v>1103</v>
      </c>
      <c r="F53" s="422">
        <v>0.89</v>
      </c>
      <c r="G53" s="260">
        <v>0.8</v>
      </c>
    </row>
    <row r="54" ht="15.75" customHeight="1">
      <c r="A54" s="397"/>
      <c r="B54" s="422"/>
      <c r="C54" s="422"/>
      <c r="D54" s="422"/>
      <c r="E54" s="397" t="s">
        <v>1105</v>
      </c>
      <c r="F54" s="422">
        <v>1.04</v>
      </c>
      <c r="G54" s="260">
        <v>1.4</v>
      </c>
    </row>
    <row r="55" ht="15.75" customHeight="1">
      <c r="A55" s="397"/>
      <c r="B55" s="422"/>
      <c r="C55" s="422"/>
      <c r="D55" s="422"/>
      <c r="E55" s="397" t="s">
        <v>1107</v>
      </c>
      <c r="F55" s="422">
        <v>1.45</v>
      </c>
      <c r="G55" s="260">
        <v>1.4</v>
      </c>
    </row>
    <row r="56" ht="15.75" customHeight="1">
      <c r="A56" s="397"/>
      <c r="B56" s="422"/>
      <c r="C56" s="422"/>
      <c r="D56" s="422"/>
      <c r="E56" s="397" t="s">
        <v>1110</v>
      </c>
      <c r="F56" s="422">
        <v>0.43</v>
      </c>
      <c r="G56" s="260">
        <v>0.6</v>
      </c>
    </row>
    <row r="57" ht="15.75" customHeight="1">
      <c r="A57" s="397"/>
      <c r="B57" s="422"/>
      <c r="C57" s="422"/>
      <c r="D57" s="422"/>
      <c r="E57" s="397" t="s">
        <v>1112</v>
      </c>
      <c r="F57" s="422">
        <v>0.77</v>
      </c>
      <c r="G57" s="260">
        <v>1.2</v>
      </c>
    </row>
    <row r="58" ht="15.75" customHeight="1">
      <c r="A58" s="397"/>
      <c r="B58" s="422"/>
      <c r="C58" s="422"/>
      <c r="D58" s="422"/>
      <c r="E58" s="397" t="s">
        <v>1115</v>
      </c>
      <c r="F58" s="422">
        <v>1.2</v>
      </c>
      <c r="G58" s="260">
        <v>1.7</v>
      </c>
    </row>
    <row r="59" ht="15.75" customHeight="1">
      <c r="A59" s="397"/>
      <c r="B59" s="422"/>
      <c r="C59" s="422"/>
      <c r="D59" s="422"/>
      <c r="E59" s="397" t="s">
        <v>1117</v>
      </c>
      <c r="F59" s="422">
        <v>0.51</v>
      </c>
      <c r="G59" s="260">
        <v>0.59</v>
      </c>
    </row>
    <row r="60" ht="15.75" customHeight="1">
      <c r="A60" s="397"/>
      <c r="B60" s="422"/>
      <c r="C60" s="422"/>
      <c r="D60" s="422"/>
      <c r="E60" s="397" t="s">
        <v>1118</v>
      </c>
      <c r="F60" s="422">
        <v>0.9</v>
      </c>
      <c r="G60" s="260">
        <v>1.3</v>
      </c>
    </row>
    <row r="61" ht="15.75" customHeight="1">
      <c r="A61" s="397"/>
      <c r="B61" s="422"/>
      <c r="C61" s="422"/>
      <c r="D61" s="422"/>
      <c r="E61" s="397" t="s">
        <v>1120</v>
      </c>
      <c r="F61" s="422">
        <v>0.52</v>
      </c>
      <c r="G61" s="260">
        <v>0.8</v>
      </c>
    </row>
    <row r="62" ht="15.75" customHeight="1">
      <c r="A62" s="397"/>
      <c r="B62" s="422"/>
      <c r="C62" s="422"/>
      <c r="D62" s="422"/>
      <c r="E62" s="397" t="s">
        <v>1123</v>
      </c>
      <c r="F62" s="422">
        <v>2.03</v>
      </c>
      <c r="G62" s="260">
        <v>2.26</v>
      </c>
    </row>
    <row r="63" ht="15.75" customHeight="1">
      <c r="A63" s="397"/>
      <c r="B63" s="422"/>
      <c r="C63" s="422"/>
      <c r="D63" s="422"/>
      <c r="E63" s="397" t="s">
        <v>1124</v>
      </c>
      <c r="F63" s="422">
        <v>0.68</v>
      </c>
      <c r="G63" s="260">
        <v>1.1</v>
      </c>
    </row>
    <row r="64" ht="15.75" customHeight="1">
      <c r="A64" s="397"/>
      <c r="B64" s="422"/>
      <c r="C64" s="422"/>
      <c r="D64" s="422"/>
      <c r="E64" s="397" t="s">
        <v>1125</v>
      </c>
      <c r="F64" s="422">
        <v>0.38</v>
      </c>
      <c r="G64" s="260">
        <v>1.1</v>
      </c>
    </row>
    <row r="65" ht="15.75" customHeight="1">
      <c r="A65" s="397"/>
      <c r="B65" s="422"/>
      <c r="C65" s="422"/>
      <c r="D65" s="422"/>
      <c r="E65" s="397" t="s">
        <v>1126</v>
      </c>
      <c r="F65" s="422">
        <v>0.82</v>
      </c>
      <c r="G65" s="260">
        <v>3.3</v>
      </c>
    </row>
    <row r="66" ht="15.75" customHeight="1">
      <c r="A66" s="397"/>
      <c r="B66" s="422"/>
      <c r="C66" s="422"/>
      <c r="D66" s="422"/>
      <c r="E66" s="397" t="s">
        <v>1127</v>
      </c>
      <c r="F66" s="422">
        <v>0.45</v>
      </c>
      <c r="G66" s="260">
        <v>0.6</v>
      </c>
    </row>
    <row r="67" ht="15.75" customHeight="1">
      <c r="A67" s="397"/>
      <c r="B67" s="422"/>
      <c r="C67" s="422"/>
      <c r="D67" s="422"/>
      <c r="E67" s="397" t="s">
        <v>1129</v>
      </c>
      <c r="F67" s="422">
        <v>0.44</v>
      </c>
      <c r="G67" s="260">
        <v>1.2</v>
      </c>
    </row>
    <row r="68" ht="15.75" customHeight="1">
      <c r="A68" s="397"/>
      <c r="B68" s="422"/>
      <c r="C68" s="422"/>
      <c r="D68" s="422"/>
      <c r="E68" s="397" t="s">
        <v>1131</v>
      </c>
      <c r="F68" s="422">
        <v>0.53</v>
      </c>
      <c r="G68" s="260">
        <v>0.8</v>
      </c>
    </row>
    <row r="69" ht="15.75" customHeight="1">
      <c r="A69" s="397"/>
      <c r="B69" s="422"/>
      <c r="C69" s="422"/>
      <c r="D69" s="422"/>
      <c r="E69" s="397" t="s">
        <v>1132</v>
      </c>
      <c r="F69" s="422">
        <v>0.86</v>
      </c>
      <c r="G69" s="260">
        <v>2.1</v>
      </c>
    </row>
    <row r="70" ht="15.75" customHeight="1">
      <c r="A70" s="397"/>
      <c r="B70" s="422"/>
      <c r="C70" s="422"/>
      <c r="D70" s="422"/>
      <c r="E70" s="397" t="s">
        <v>1133</v>
      </c>
      <c r="F70" s="422">
        <v>0.61</v>
      </c>
      <c r="G70" s="260">
        <v>1.2</v>
      </c>
    </row>
    <row r="71" ht="15.75" customHeight="1">
      <c r="A71" s="397"/>
      <c r="B71" s="422"/>
      <c r="C71" s="422"/>
      <c r="D71" s="422"/>
      <c r="E71" s="397" t="s">
        <v>1134</v>
      </c>
      <c r="F71" s="422">
        <v>0.73</v>
      </c>
      <c r="G71" s="260">
        <v>1.32</v>
      </c>
    </row>
    <row r="72" ht="15.75" customHeight="1">
      <c r="A72" s="397"/>
      <c r="B72" s="422"/>
      <c r="C72" s="422"/>
      <c r="D72" s="422"/>
      <c r="E72" s="397" t="s">
        <v>1135</v>
      </c>
      <c r="F72" s="422">
        <v>0.58</v>
      </c>
      <c r="G72" s="260">
        <v>1.7</v>
      </c>
    </row>
    <row r="73" ht="15.75" customHeight="1">
      <c r="A73" s="397"/>
      <c r="B73" s="422"/>
      <c r="C73" s="422"/>
      <c r="D73" s="422"/>
      <c r="E73" s="397" t="s">
        <v>1136</v>
      </c>
      <c r="F73" s="422">
        <v>0.61</v>
      </c>
      <c r="G73" s="260">
        <v>1.2</v>
      </c>
    </row>
    <row r="74" ht="15.75" customHeight="1">
      <c r="A74" s="397"/>
      <c r="B74" s="422"/>
      <c r="C74" s="422"/>
      <c r="D74" s="422"/>
      <c r="E74" s="397" t="s">
        <v>1139</v>
      </c>
      <c r="F74" s="422">
        <v>0.49</v>
      </c>
      <c r="G74" s="436">
        <v>1.07</v>
      </c>
    </row>
    <row r="75" ht="15.75" customHeight="1">
      <c r="A75" s="397"/>
      <c r="B75" s="422"/>
      <c r="C75" s="422"/>
      <c r="D75" s="422"/>
      <c r="E75" s="397" t="s">
        <v>1140</v>
      </c>
      <c r="F75" s="422">
        <v>0.61</v>
      </c>
      <c r="G75" s="260">
        <v>1.0</v>
      </c>
    </row>
    <row r="76" ht="15.75" customHeight="1">
      <c r="A76" s="397"/>
      <c r="B76" s="422"/>
      <c r="C76" s="422"/>
      <c r="D76" s="422"/>
      <c r="E76" s="397" t="s">
        <v>1141</v>
      </c>
      <c r="F76" s="422">
        <v>0.77</v>
      </c>
      <c r="G76" s="260">
        <v>1.7</v>
      </c>
    </row>
    <row r="77" ht="15.75" customHeight="1">
      <c r="A77" s="397"/>
      <c r="B77" s="422"/>
      <c r="C77" s="422"/>
      <c r="D77" s="422"/>
      <c r="E77" s="397" t="s">
        <v>1142</v>
      </c>
      <c r="F77" s="422">
        <v>0.85</v>
      </c>
      <c r="G77" s="260">
        <v>1.1</v>
      </c>
    </row>
    <row r="78" ht="15.75" customHeight="1">
      <c r="A78" s="397"/>
      <c r="B78" s="422"/>
      <c r="C78" s="422"/>
      <c r="D78" s="422"/>
      <c r="E78" s="397" t="s">
        <v>1144</v>
      </c>
      <c r="F78" s="422">
        <v>0.85</v>
      </c>
      <c r="G78" s="260">
        <v>1.1</v>
      </c>
    </row>
    <row r="79" ht="15.75" customHeight="1">
      <c r="A79" s="397"/>
      <c r="B79" s="422"/>
      <c r="C79" s="422"/>
      <c r="D79" s="422"/>
      <c r="E79" s="397" t="s">
        <v>1145</v>
      </c>
      <c r="F79" s="422">
        <v>0.78</v>
      </c>
      <c r="G79" s="260">
        <v>1.1</v>
      </c>
    </row>
    <row r="80" ht="15.75" customHeight="1">
      <c r="A80" s="397"/>
      <c r="B80" s="422"/>
      <c r="C80" s="422"/>
      <c r="D80" s="422"/>
      <c r="E80" s="397" t="s">
        <v>1146</v>
      </c>
      <c r="F80" s="422">
        <v>0.11</v>
      </c>
      <c r="G80" s="260">
        <v>0.2</v>
      </c>
    </row>
    <row r="81" ht="15.75" customHeight="1">
      <c r="A81" s="397"/>
      <c r="B81" s="422"/>
      <c r="C81" s="422"/>
      <c r="D81" s="422"/>
      <c r="E81" s="397" t="s">
        <v>1147</v>
      </c>
      <c r="F81" s="422">
        <v>0.35</v>
      </c>
      <c r="G81" s="260"/>
    </row>
    <row r="82" ht="15.75" customHeight="1">
      <c r="A82" s="397"/>
      <c r="B82" s="422"/>
      <c r="C82" s="422"/>
      <c r="D82" s="422"/>
      <c r="E82" s="397" t="s">
        <v>1148</v>
      </c>
      <c r="F82" s="422">
        <v>1.23</v>
      </c>
      <c r="G82" s="260">
        <v>1.2</v>
      </c>
    </row>
    <row r="83" ht="15.75" customHeight="1">
      <c r="A83" s="397"/>
      <c r="B83" s="422"/>
      <c r="C83" s="422"/>
      <c r="D83" s="422"/>
      <c r="E83" s="397" t="s">
        <v>1149</v>
      </c>
      <c r="F83" s="422">
        <v>0.66</v>
      </c>
      <c r="G83" s="260">
        <v>1.2</v>
      </c>
    </row>
    <row r="84" ht="15.75" customHeight="1">
      <c r="A84" s="397"/>
      <c r="B84" s="422"/>
      <c r="C84" s="422"/>
      <c r="D84" s="422"/>
      <c r="E84" s="397" t="s">
        <v>1151</v>
      </c>
      <c r="F84" s="422">
        <v>0.54</v>
      </c>
      <c r="G84" s="260">
        <v>0.9</v>
      </c>
    </row>
    <row r="85" ht="15.75" customHeight="1">
      <c r="A85" s="397"/>
      <c r="B85" s="422"/>
      <c r="C85" s="422"/>
      <c r="D85" s="422"/>
      <c r="E85" s="397" t="s">
        <v>1152</v>
      </c>
      <c r="F85" s="422">
        <v>0.98</v>
      </c>
      <c r="G85" s="260">
        <v>2.4</v>
      </c>
    </row>
    <row r="86" ht="15.75" customHeight="1">
      <c r="A86" s="397"/>
      <c r="B86" s="422"/>
      <c r="C86" s="422"/>
      <c r="D86" s="422"/>
      <c r="E86" s="397" t="s">
        <v>1153</v>
      </c>
      <c r="F86" s="422">
        <v>0.75</v>
      </c>
      <c r="G86" s="260">
        <v>0.9</v>
      </c>
    </row>
    <row r="87" ht="15.75" customHeight="1">
      <c r="A87" s="397"/>
      <c r="B87" s="422"/>
      <c r="C87" s="422"/>
      <c r="D87" s="422"/>
      <c r="E87" s="397" t="s">
        <v>1154</v>
      </c>
      <c r="F87" s="422">
        <v>0.81</v>
      </c>
      <c r="G87" s="260">
        <v>1.52</v>
      </c>
    </row>
    <row r="88" ht="15.75" customHeight="1">
      <c r="A88" s="397"/>
      <c r="B88" s="422"/>
      <c r="C88" s="422"/>
      <c r="D88" s="422"/>
      <c r="E88" s="397" t="s">
        <v>1155</v>
      </c>
      <c r="F88" s="422">
        <v>0.49</v>
      </c>
      <c r="G88" s="260">
        <v>0.89</v>
      </c>
    </row>
    <row r="89" ht="15.75" customHeight="1">
      <c r="A89" s="397"/>
      <c r="B89" s="422"/>
      <c r="C89" s="422"/>
      <c r="D89" s="422"/>
      <c r="E89" s="397" t="s">
        <v>1157</v>
      </c>
      <c r="F89" s="422">
        <v>0.79</v>
      </c>
      <c r="G89" s="260">
        <v>1.7</v>
      </c>
    </row>
    <row r="90" ht="15.75" customHeight="1">
      <c r="A90" s="397"/>
      <c r="B90" s="422"/>
      <c r="C90" s="422"/>
      <c r="D90" s="422"/>
      <c r="E90" s="397" t="s">
        <v>1158</v>
      </c>
      <c r="F90" s="422">
        <v>1.06</v>
      </c>
      <c r="G90" s="260">
        <v>1.7</v>
      </c>
    </row>
    <row r="91" ht="15.75" customHeight="1">
      <c r="A91" s="397"/>
      <c r="B91" s="422"/>
      <c r="C91" s="422"/>
      <c r="D91" s="422"/>
      <c r="E91" s="397" t="s">
        <v>1159</v>
      </c>
      <c r="F91" s="422">
        <v>0.38</v>
      </c>
      <c r="G91" s="260">
        <v>0.68</v>
      </c>
    </row>
    <row r="92" ht="15.75" customHeight="1">
      <c r="A92" s="397"/>
      <c r="B92" s="422"/>
      <c r="C92" s="422"/>
      <c r="D92" s="422"/>
      <c r="E92" s="397" t="s">
        <v>1160</v>
      </c>
      <c r="F92" s="422">
        <v>2.26</v>
      </c>
      <c r="G92" s="260">
        <v>4.61</v>
      </c>
    </row>
    <row r="93" ht="15.75" customHeight="1">
      <c r="B93" s="260"/>
      <c r="C93" s="260"/>
      <c r="D93" s="260"/>
      <c r="E93" s="397" t="s">
        <v>1161</v>
      </c>
      <c r="F93" s="422">
        <v>1.45</v>
      </c>
      <c r="G93" s="260">
        <v>3.01</v>
      </c>
    </row>
    <row r="94" ht="15.75" customHeight="1">
      <c r="B94" s="260"/>
      <c r="C94" s="260"/>
      <c r="D94" s="260"/>
      <c r="E94" s="397" t="s">
        <v>1163</v>
      </c>
      <c r="F94" s="422">
        <v>1.08</v>
      </c>
      <c r="G94" s="260">
        <v>2.26</v>
      </c>
    </row>
    <row r="95" ht="15.75" customHeight="1">
      <c r="B95" s="260"/>
      <c r="C95" s="260"/>
      <c r="D95" s="260"/>
      <c r="E95" s="397" t="s">
        <v>1164</v>
      </c>
      <c r="F95" s="422">
        <v>0.72</v>
      </c>
      <c r="G95" s="260">
        <v>1.5</v>
      </c>
    </row>
    <row r="96" ht="15.75" customHeight="1">
      <c r="B96" s="260"/>
      <c r="C96" s="260"/>
      <c r="D96" s="260"/>
      <c r="E96" s="397" t="s">
        <v>1165</v>
      </c>
      <c r="F96" s="422">
        <v>0.5</v>
      </c>
      <c r="G96" s="260">
        <v>0.6</v>
      </c>
    </row>
    <row r="97" ht="15.75" customHeight="1">
      <c r="B97" s="260"/>
      <c r="C97" s="260"/>
      <c r="D97" s="260"/>
      <c r="E97" s="397" t="s">
        <v>1166</v>
      </c>
      <c r="F97" s="422">
        <v>0.43</v>
      </c>
      <c r="G97" s="260">
        <v>0.8</v>
      </c>
    </row>
    <row r="98" ht="15.75" customHeight="1">
      <c r="B98" s="260"/>
      <c r="C98" s="260"/>
      <c r="D98" s="260"/>
      <c r="E98" s="397" t="s">
        <v>1167</v>
      </c>
      <c r="F98" s="422">
        <v>0.43</v>
      </c>
      <c r="G98" s="260">
        <v>0.9</v>
      </c>
    </row>
    <row r="99" ht="15.75" customHeight="1">
      <c r="B99" s="260"/>
      <c r="C99" s="260"/>
      <c r="D99" s="260"/>
      <c r="E99" s="397" t="s">
        <v>1169</v>
      </c>
      <c r="F99" s="422">
        <v>0.43</v>
      </c>
      <c r="G99" s="260">
        <v>0.8</v>
      </c>
    </row>
    <row r="100" ht="15.75" customHeight="1">
      <c r="B100" s="260"/>
      <c r="C100" s="260"/>
      <c r="D100" s="260"/>
      <c r="E100" s="397" t="s">
        <v>1170</v>
      </c>
      <c r="F100" s="422">
        <v>0.43</v>
      </c>
      <c r="G100" s="260">
        <v>0.8</v>
      </c>
    </row>
    <row r="101" ht="15.75" customHeight="1">
      <c r="B101" s="260"/>
      <c r="C101" s="260"/>
      <c r="D101" s="260"/>
      <c r="E101" s="397" t="s">
        <v>1171</v>
      </c>
      <c r="F101" s="422">
        <v>0.31</v>
      </c>
      <c r="G101" s="260">
        <v>0.6</v>
      </c>
    </row>
    <row r="102" ht="15.75" customHeight="1">
      <c r="B102" s="260"/>
      <c r="C102" s="260"/>
      <c r="D102" s="260"/>
      <c r="E102" s="397" t="s">
        <v>1172</v>
      </c>
      <c r="F102" s="422">
        <v>0.4</v>
      </c>
      <c r="G102" s="260">
        <v>1.0</v>
      </c>
    </row>
    <row r="103" ht="15.75" customHeight="1">
      <c r="B103" s="260"/>
      <c r="C103" s="260"/>
      <c r="D103" s="260"/>
      <c r="E103" s="397" t="s">
        <v>1173</v>
      </c>
      <c r="F103" s="422">
        <v>0.48</v>
      </c>
      <c r="G103" s="260">
        <v>1.5</v>
      </c>
    </row>
    <row r="104" ht="15.75" customHeight="1">
      <c r="B104" s="260"/>
      <c r="C104" s="260"/>
      <c r="D104" s="260"/>
      <c r="E104" s="397" t="s">
        <v>1174</v>
      </c>
      <c r="F104" s="422">
        <v>0.2</v>
      </c>
      <c r="G104" s="260">
        <v>0.2</v>
      </c>
    </row>
    <row r="105" ht="15.75" customHeight="1">
      <c r="B105" s="260"/>
      <c r="C105" s="260"/>
      <c r="D105" s="260"/>
      <c r="E105" s="397" t="s">
        <v>1176</v>
      </c>
      <c r="F105" s="422">
        <v>0.53</v>
      </c>
      <c r="G105" s="260">
        <v>0.7</v>
      </c>
    </row>
    <row r="106" ht="15.75" customHeight="1">
      <c r="B106" s="260"/>
      <c r="C106" s="260"/>
      <c r="D106" s="260"/>
      <c r="E106" s="397" t="s">
        <v>1177</v>
      </c>
      <c r="F106" s="422">
        <v>0.27</v>
      </c>
      <c r="G106" s="260">
        <v>0.9</v>
      </c>
    </row>
    <row r="107" ht="15.75" customHeight="1">
      <c r="B107" s="260"/>
      <c r="C107" s="260"/>
      <c r="D107" s="260"/>
      <c r="E107" s="397" t="s">
        <v>1178</v>
      </c>
      <c r="F107" s="422">
        <v>0.65</v>
      </c>
      <c r="G107" s="260">
        <v>1.4</v>
      </c>
    </row>
    <row r="108" ht="15.75" customHeight="1">
      <c r="B108" s="260"/>
      <c r="C108" s="260"/>
      <c r="D108" s="260"/>
      <c r="E108" s="397" t="s">
        <v>929</v>
      </c>
      <c r="F108" s="422">
        <v>1.09</v>
      </c>
      <c r="G108" s="260">
        <v>1.9</v>
      </c>
    </row>
    <row r="109" ht="15.75" customHeight="1">
      <c r="B109" s="260"/>
      <c r="C109" s="260"/>
      <c r="D109" s="260"/>
      <c r="E109" s="397"/>
      <c r="F109" s="422"/>
    </row>
    <row r="110" ht="15.75" customHeight="1">
      <c r="B110" s="260"/>
      <c r="C110" s="260"/>
      <c r="D110" s="260"/>
      <c r="E110" s="397"/>
      <c r="F110" s="422"/>
    </row>
    <row r="111" ht="15.75" customHeight="1">
      <c r="B111" s="260"/>
      <c r="C111" s="260"/>
      <c r="D111" s="260"/>
      <c r="E111" s="397"/>
      <c r="F111" s="422"/>
    </row>
    <row r="112" ht="15.75" customHeight="1">
      <c r="B112" s="260"/>
      <c r="C112" s="260"/>
      <c r="D112" s="260"/>
      <c r="E112" s="397"/>
      <c r="F112" s="422"/>
    </row>
    <row r="113" ht="15.75" customHeight="1">
      <c r="B113" s="260"/>
      <c r="C113" s="260"/>
      <c r="D113" s="260"/>
      <c r="F113" s="260"/>
    </row>
    <row r="114" ht="15.75" customHeight="1">
      <c r="B114" s="260"/>
      <c r="C114" s="260"/>
      <c r="D114" s="260"/>
      <c r="F114" s="260"/>
    </row>
    <row r="115" ht="15.75" customHeight="1">
      <c r="B115" s="260"/>
      <c r="C115" s="260"/>
      <c r="D115" s="260"/>
      <c r="F115" s="260"/>
    </row>
    <row r="116" ht="15.75" customHeight="1">
      <c r="B116" s="260"/>
      <c r="C116" s="260"/>
      <c r="D116" s="260"/>
      <c r="F116" s="260"/>
    </row>
    <row r="117" ht="15.75" customHeight="1">
      <c r="B117" s="260"/>
      <c r="C117" s="260"/>
      <c r="D117" s="260"/>
      <c r="F117" s="260"/>
    </row>
    <row r="118" ht="15.75" customHeight="1">
      <c r="B118" s="260"/>
      <c r="C118" s="260"/>
      <c r="D118" s="260"/>
      <c r="F118" s="260"/>
    </row>
    <row r="119" ht="15.75" customHeight="1">
      <c r="B119" s="260"/>
      <c r="C119" s="260"/>
      <c r="D119" s="260"/>
      <c r="F119" s="260"/>
    </row>
    <row r="120" ht="15.75" customHeight="1">
      <c r="B120" s="260"/>
      <c r="C120" s="260"/>
      <c r="D120" s="260"/>
      <c r="F120" s="260"/>
    </row>
    <row r="121" ht="15.75" customHeight="1">
      <c r="B121" s="260"/>
      <c r="C121" s="260"/>
      <c r="D121" s="260"/>
      <c r="F121" s="260"/>
    </row>
    <row r="122" ht="15.75" customHeight="1">
      <c r="B122" s="260"/>
      <c r="C122" s="260"/>
      <c r="D122" s="260"/>
      <c r="F122" s="260"/>
    </row>
    <row r="123" ht="15.75" customHeight="1">
      <c r="B123" s="260"/>
      <c r="C123" s="260"/>
      <c r="D123" s="260"/>
      <c r="F123" s="260"/>
    </row>
    <row r="124" ht="15.75" customHeight="1">
      <c r="B124" s="260"/>
      <c r="C124" s="260"/>
      <c r="D124" s="260"/>
      <c r="F124" s="260"/>
    </row>
    <row r="125" ht="15.75" customHeight="1">
      <c r="B125" s="260"/>
      <c r="C125" s="260"/>
      <c r="D125" s="260"/>
      <c r="F125" s="260"/>
    </row>
    <row r="126" ht="15.75" customHeight="1">
      <c r="B126" s="260"/>
      <c r="C126" s="260"/>
      <c r="D126" s="260"/>
      <c r="F126" s="260"/>
    </row>
    <row r="127" ht="15.75" customHeight="1">
      <c r="B127" s="260"/>
      <c r="C127" s="260"/>
      <c r="D127" s="260"/>
      <c r="F127" s="260"/>
    </row>
    <row r="128" ht="15.75" customHeight="1">
      <c r="B128" s="260"/>
      <c r="C128" s="260"/>
      <c r="D128" s="260"/>
      <c r="F128" s="260"/>
    </row>
    <row r="129" ht="15.75" customHeight="1">
      <c r="B129" s="260"/>
      <c r="C129" s="260"/>
      <c r="D129" s="260"/>
      <c r="F129" s="260"/>
    </row>
    <row r="130" ht="15.75" customHeight="1">
      <c r="B130" s="260"/>
      <c r="C130" s="260"/>
      <c r="D130" s="260"/>
      <c r="F130" s="260"/>
    </row>
    <row r="131" ht="15.75" customHeight="1">
      <c r="B131" s="260"/>
      <c r="C131" s="260"/>
      <c r="D131" s="260"/>
      <c r="F131" s="260"/>
    </row>
    <row r="132" ht="15.75" customHeight="1">
      <c r="B132" s="260"/>
      <c r="C132" s="260"/>
      <c r="D132" s="260"/>
      <c r="F132" s="260"/>
    </row>
    <row r="133" ht="15.75" customHeight="1">
      <c r="B133" s="260"/>
      <c r="C133" s="260"/>
      <c r="D133" s="260"/>
      <c r="F133" s="260"/>
    </row>
    <row r="134" ht="15.75" customHeight="1">
      <c r="B134" s="260"/>
      <c r="C134" s="260"/>
      <c r="D134" s="260"/>
      <c r="F134" s="260"/>
    </row>
    <row r="135" ht="15.75" customHeight="1">
      <c r="B135" s="260"/>
      <c r="C135" s="260"/>
      <c r="D135" s="260"/>
      <c r="F135" s="260"/>
    </row>
    <row r="136" ht="15.75" customHeight="1">
      <c r="B136" s="260"/>
      <c r="C136" s="260"/>
      <c r="D136" s="260"/>
      <c r="F136" s="260"/>
    </row>
    <row r="137" ht="15.75" customHeight="1">
      <c r="B137" s="260"/>
      <c r="C137" s="260"/>
      <c r="D137" s="260"/>
      <c r="F137" s="260"/>
    </row>
    <row r="138" ht="15.75" customHeight="1">
      <c r="B138" s="260"/>
      <c r="C138" s="260"/>
      <c r="D138" s="260"/>
      <c r="F138" s="260"/>
    </row>
    <row r="139" ht="15.75" customHeight="1">
      <c r="B139" s="260"/>
      <c r="C139" s="260"/>
      <c r="D139" s="260"/>
      <c r="F139" s="260"/>
    </row>
    <row r="140" ht="15.75" customHeight="1">
      <c r="B140" s="260"/>
      <c r="C140" s="260"/>
      <c r="D140" s="260"/>
      <c r="F140" s="260"/>
    </row>
    <row r="141" ht="15.75" customHeight="1">
      <c r="B141" s="260"/>
      <c r="C141" s="260"/>
      <c r="D141" s="260"/>
      <c r="F141" s="260"/>
    </row>
    <row r="142" ht="15.75" customHeight="1">
      <c r="B142" s="260"/>
      <c r="C142" s="260"/>
      <c r="D142" s="260"/>
      <c r="F142" s="260"/>
    </row>
    <row r="143" ht="15.75" customHeight="1">
      <c r="B143" s="260"/>
      <c r="C143" s="260"/>
      <c r="D143" s="260"/>
      <c r="F143" s="260"/>
    </row>
    <row r="144" ht="15.75" customHeight="1">
      <c r="B144" s="260"/>
      <c r="C144" s="260"/>
      <c r="D144" s="260"/>
      <c r="F144" s="260"/>
    </row>
    <row r="145" ht="15.75" customHeight="1">
      <c r="B145" s="260"/>
      <c r="C145" s="260"/>
      <c r="D145" s="260"/>
      <c r="F145" s="260"/>
    </row>
    <row r="146" ht="15.75" customHeight="1">
      <c r="B146" s="260"/>
      <c r="C146" s="260"/>
      <c r="D146" s="260"/>
      <c r="F146" s="260"/>
    </row>
    <row r="147" ht="15.75" customHeight="1">
      <c r="B147" s="260"/>
      <c r="C147" s="260"/>
      <c r="D147" s="260"/>
      <c r="F147" s="260"/>
    </row>
    <row r="148" ht="15.75" customHeight="1">
      <c r="B148" s="260"/>
      <c r="C148" s="260"/>
      <c r="D148" s="260"/>
      <c r="F148" s="260"/>
    </row>
    <row r="149" ht="15.75" customHeight="1">
      <c r="B149" s="260"/>
      <c r="C149" s="260"/>
      <c r="D149" s="260"/>
      <c r="F149" s="260"/>
    </row>
    <row r="150" ht="15.75" customHeight="1">
      <c r="B150" s="260"/>
      <c r="C150" s="260"/>
      <c r="D150" s="260"/>
      <c r="F150" s="260"/>
    </row>
    <row r="151" ht="15.75" customHeight="1">
      <c r="B151" s="260"/>
      <c r="C151" s="260"/>
      <c r="D151" s="260"/>
      <c r="F151" s="260"/>
    </row>
    <row r="152" ht="15.75" customHeight="1">
      <c r="B152" s="260"/>
      <c r="C152" s="260"/>
      <c r="D152" s="260"/>
      <c r="F152" s="260"/>
    </row>
    <row r="153" ht="15.75" customHeight="1">
      <c r="B153" s="260"/>
      <c r="C153" s="260"/>
      <c r="D153" s="260"/>
      <c r="F153" s="260"/>
    </row>
    <row r="154" ht="15.75" customHeight="1">
      <c r="B154" s="260"/>
      <c r="C154" s="260"/>
      <c r="D154" s="260"/>
      <c r="F154" s="260"/>
    </row>
    <row r="155" ht="15.75" customHeight="1">
      <c r="B155" s="260"/>
      <c r="C155" s="260"/>
      <c r="D155" s="260"/>
      <c r="F155" s="260"/>
    </row>
    <row r="156" ht="15.75" customHeight="1">
      <c r="B156" s="260"/>
      <c r="C156" s="260"/>
      <c r="D156" s="260"/>
      <c r="F156" s="260"/>
    </row>
    <row r="157" ht="15.75" customHeight="1">
      <c r="B157" s="260"/>
      <c r="C157" s="260"/>
      <c r="D157" s="260"/>
      <c r="F157" s="260"/>
    </row>
    <row r="158" ht="15.75" customHeight="1">
      <c r="B158" s="260"/>
      <c r="C158" s="260"/>
      <c r="D158" s="260"/>
      <c r="F158" s="260"/>
    </row>
    <row r="159" ht="15.75" customHeight="1">
      <c r="B159" s="260"/>
      <c r="C159" s="260"/>
      <c r="D159" s="260"/>
      <c r="F159" s="260"/>
    </row>
    <row r="160" ht="15.75" customHeight="1">
      <c r="B160" s="260"/>
      <c r="C160" s="260"/>
      <c r="D160" s="260"/>
      <c r="F160" s="260"/>
    </row>
    <row r="161" ht="15.75" customHeight="1">
      <c r="B161" s="260"/>
      <c r="C161" s="260"/>
      <c r="D161" s="260"/>
      <c r="F161" s="260"/>
    </row>
    <row r="162" ht="15.75" customHeight="1">
      <c r="B162" s="260"/>
      <c r="C162" s="260"/>
      <c r="D162" s="260"/>
      <c r="F162" s="260"/>
    </row>
    <row r="163" ht="15.75" customHeight="1">
      <c r="B163" s="260"/>
      <c r="C163" s="260"/>
      <c r="D163" s="260"/>
      <c r="F163" s="260"/>
    </row>
    <row r="164" ht="15.75" customHeight="1">
      <c r="B164" s="260"/>
      <c r="C164" s="260"/>
      <c r="D164" s="260"/>
      <c r="F164" s="260"/>
    </row>
    <row r="165" ht="15.75" customHeight="1">
      <c r="B165" s="260"/>
      <c r="C165" s="260"/>
      <c r="D165" s="260"/>
      <c r="F165" s="260"/>
    </row>
    <row r="166" ht="15.75" customHeight="1">
      <c r="B166" s="260"/>
      <c r="C166" s="260"/>
      <c r="D166" s="260"/>
      <c r="F166" s="260"/>
    </row>
    <row r="167" ht="15.75" customHeight="1">
      <c r="B167" s="260"/>
      <c r="C167" s="260"/>
      <c r="D167" s="260"/>
      <c r="F167" s="260"/>
    </row>
    <row r="168" ht="15.75" customHeight="1">
      <c r="B168" s="260"/>
      <c r="C168" s="260"/>
      <c r="D168" s="260"/>
      <c r="F168" s="260"/>
    </row>
    <row r="169" ht="15.75" customHeight="1">
      <c r="B169" s="260"/>
      <c r="C169" s="260"/>
      <c r="D169" s="260"/>
      <c r="F169" s="260"/>
    </row>
    <row r="170" ht="15.75" customHeight="1">
      <c r="B170" s="260"/>
      <c r="C170" s="260"/>
      <c r="D170" s="260"/>
      <c r="F170" s="260"/>
    </row>
    <row r="171" ht="15.75" customHeight="1">
      <c r="B171" s="260"/>
      <c r="C171" s="260"/>
      <c r="D171" s="260"/>
      <c r="F171" s="260"/>
    </row>
    <row r="172" ht="15.75" customHeight="1">
      <c r="B172" s="260"/>
      <c r="C172" s="260"/>
      <c r="D172" s="260"/>
      <c r="F172" s="260"/>
    </row>
    <row r="173" ht="15.75" customHeight="1">
      <c r="B173" s="260"/>
      <c r="C173" s="260"/>
      <c r="D173" s="260"/>
      <c r="F173" s="260"/>
    </row>
    <row r="174" ht="15.75" customHeight="1">
      <c r="B174" s="260"/>
      <c r="C174" s="260"/>
      <c r="D174" s="260"/>
      <c r="F174" s="260"/>
    </row>
    <row r="175" ht="15.75" customHeight="1">
      <c r="B175" s="260"/>
      <c r="C175" s="260"/>
      <c r="D175" s="260"/>
      <c r="F175" s="260"/>
    </row>
    <row r="176" ht="15.75" customHeight="1">
      <c r="B176" s="260"/>
      <c r="C176" s="260"/>
      <c r="D176" s="260"/>
      <c r="F176" s="260"/>
    </row>
    <row r="177" ht="15.75" customHeight="1">
      <c r="B177" s="260"/>
      <c r="C177" s="260"/>
      <c r="D177" s="260"/>
      <c r="F177" s="260"/>
    </row>
    <row r="178" ht="15.75" customHeight="1">
      <c r="B178" s="260"/>
      <c r="C178" s="260"/>
      <c r="D178" s="260"/>
      <c r="F178" s="260"/>
    </row>
    <row r="179" ht="15.75" customHeight="1">
      <c r="B179" s="260"/>
      <c r="C179" s="260"/>
      <c r="D179" s="260"/>
      <c r="F179" s="260"/>
    </row>
    <row r="180" ht="15.75" customHeight="1">
      <c r="B180" s="260"/>
      <c r="C180" s="260"/>
      <c r="D180" s="260"/>
      <c r="F180" s="260"/>
    </row>
    <row r="181" ht="15.75" customHeight="1">
      <c r="B181" s="260"/>
      <c r="C181" s="260"/>
      <c r="D181" s="260"/>
      <c r="F181" s="260"/>
    </row>
    <row r="182" ht="15.75" customHeight="1">
      <c r="B182" s="260"/>
      <c r="C182" s="260"/>
      <c r="D182" s="260"/>
      <c r="F182" s="260"/>
    </row>
    <row r="183" ht="15.75" customHeight="1">
      <c r="B183" s="260"/>
      <c r="C183" s="260"/>
      <c r="D183" s="260"/>
      <c r="F183" s="260"/>
    </row>
    <row r="184" ht="15.75" customHeight="1">
      <c r="B184" s="260"/>
      <c r="C184" s="260"/>
      <c r="D184" s="260"/>
      <c r="F184" s="260"/>
    </row>
    <row r="185" ht="15.75" customHeight="1">
      <c r="B185" s="260"/>
      <c r="C185" s="260"/>
      <c r="D185" s="260"/>
      <c r="F185" s="260"/>
    </row>
    <row r="186" ht="15.75" customHeight="1">
      <c r="B186" s="260"/>
      <c r="C186" s="260"/>
      <c r="D186" s="260"/>
      <c r="F186" s="260"/>
    </row>
    <row r="187" ht="15.75" customHeight="1">
      <c r="B187" s="260"/>
      <c r="C187" s="260"/>
      <c r="D187" s="260"/>
      <c r="F187" s="260"/>
    </row>
    <row r="188" ht="15.75" customHeight="1">
      <c r="B188" s="260"/>
      <c r="C188" s="260"/>
      <c r="D188" s="260"/>
      <c r="F188" s="260"/>
    </row>
    <row r="189" ht="15.75" customHeight="1">
      <c r="B189" s="260"/>
      <c r="C189" s="260"/>
      <c r="D189" s="260"/>
      <c r="F189" s="260"/>
    </row>
    <row r="190" ht="15.75" customHeight="1">
      <c r="B190" s="260"/>
      <c r="C190" s="260"/>
      <c r="D190" s="260"/>
      <c r="F190" s="260"/>
    </row>
    <row r="191" ht="15.75" customHeight="1">
      <c r="B191" s="260"/>
      <c r="C191" s="260"/>
      <c r="D191" s="260"/>
      <c r="F191" s="260"/>
    </row>
    <row r="192" ht="15.75" customHeight="1">
      <c r="B192" s="260"/>
      <c r="C192" s="260"/>
      <c r="D192" s="260"/>
      <c r="F192" s="260"/>
    </row>
    <row r="193" ht="15.75" customHeight="1">
      <c r="B193" s="260"/>
      <c r="C193" s="260"/>
      <c r="D193" s="260"/>
      <c r="F193" s="260"/>
    </row>
    <row r="194" ht="15.75" customHeight="1">
      <c r="B194" s="260"/>
      <c r="C194" s="260"/>
      <c r="D194" s="260"/>
      <c r="F194" s="260"/>
    </row>
    <row r="195" ht="15.75" customHeight="1">
      <c r="B195" s="260"/>
      <c r="C195" s="260"/>
      <c r="D195" s="260"/>
      <c r="F195" s="260"/>
    </row>
    <row r="196" ht="15.75" customHeight="1">
      <c r="B196" s="260"/>
      <c r="C196" s="260"/>
      <c r="D196" s="260"/>
      <c r="F196" s="260"/>
    </row>
    <row r="197" ht="15.75" customHeight="1">
      <c r="B197" s="260"/>
      <c r="C197" s="260"/>
      <c r="D197" s="260"/>
      <c r="F197" s="260"/>
    </row>
    <row r="198" ht="15.75" customHeight="1">
      <c r="B198" s="260"/>
      <c r="C198" s="260"/>
      <c r="D198" s="260"/>
      <c r="F198" s="260"/>
    </row>
    <row r="199" ht="15.75" customHeight="1">
      <c r="B199" s="260"/>
      <c r="C199" s="260"/>
      <c r="D199" s="260"/>
      <c r="F199" s="260"/>
    </row>
    <row r="200" ht="15.75" customHeight="1">
      <c r="B200" s="260"/>
      <c r="C200" s="260"/>
      <c r="D200" s="260"/>
      <c r="F200" s="260"/>
    </row>
    <row r="201" ht="15.75" customHeight="1">
      <c r="B201" s="260"/>
      <c r="C201" s="260"/>
      <c r="D201" s="260"/>
      <c r="F201" s="260"/>
    </row>
    <row r="202" ht="15.75" customHeight="1">
      <c r="B202" s="260"/>
      <c r="C202" s="260"/>
      <c r="D202" s="260"/>
      <c r="F202" s="260"/>
    </row>
    <row r="203" ht="15.75" customHeight="1">
      <c r="B203" s="260"/>
      <c r="C203" s="260"/>
      <c r="D203" s="260"/>
      <c r="F203" s="260"/>
    </row>
    <row r="204" ht="15.75" customHeight="1">
      <c r="B204" s="260"/>
      <c r="C204" s="260"/>
      <c r="D204" s="260"/>
      <c r="F204" s="260"/>
    </row>
    <row r="205" ht="15.75" customHeight="1">
      <c r="B205" s="260"/>
      <c r="C205" s="260"/>
      <c r="D205" s="260"/>
      <c r="F205" s="260"/>
    </row>
    <row r="206" ht="15.75" customHeight="1">
      <c r="B206" s="260"/>
      <c r="C206" s="260"/>
      <c r="D206" s="260"/>
      <c r="F206" s="260"/>
    </row>
    <row r="207" ht="15.75" customHeight="1">
      <c r="B207" s="260"/>
      <c r="C207" s="260"/>
      <c r="D207" s="260"/>
      <c r="F207" s="260"/>
    </row>
    <row r="208" ht="15.75" customHeight="1">
      <c r="B208" s="260"/>
      <c r="C208" s="260"/>
      <c r="D208" s="260"/>
      <c r="F208" s="260"/>
    </row>
    <row r="209" ht="15.75" customHeight="1">
      <c r="B209" s="260"/>
      <c r="C209" s="260"/>
      <c r="D209" s="260"/>
      <c r="F209" s="260"/>
    </row>
    <row r="210" ht="15.75" customHeight="1">
      <c r="B210" s="260"/>
      <c r="C210" s="260"/>
      <c r="D210" s="260"/>
      <c r="F210" s="260"/>
    </row>
    <row r="211" ht="15.75" customHeight="1">
      <c r="B211" s="260"/>
      <c r="C211" s="260"/>
      <c r="D211" s="260"/>
      <c r="F211" s="260"/>
    </row>
    <row r="212" ht="15.75" customHeight="1">
      <c r="B212" s="260"/>
      <c r="C212" s="260"/>
      <c r="D212" s="260"/>
      <c r="F212" s="260"/>
    </row>
    <row r="213" ht="15.75" customHeight="1">
      <c r="B213" s="260"/>
      <c r="C213" s="260"/>
      <c r="D213" s="260"/>
      <c r="F213" s="260"/>
    </row>
    <row r="214" ht="15.75" customHeight="1">
      <c r="B214" s="260"/>
      <c r="C214" s="260"/>
      <c r="D214" s="260"/>
      <c r="F214" s="260"/>
    </row>
    <row r="215" ht="15.75" customHeight="1">
      <c r="B215" s="260"/>
      <c r="C215" s="260"/>
      <c r="D215" s="260"/>
      <c r="F215" s="260"/>
    </row>
    <row r="216" ht="15.75" customHeight="1">
      <c r="B216" s="260"/>
      <c r="C216" s="260"/>
      <c r="D216" s="260"/>
      <c r="F216" s="260"/>
    </row>
    <row r="217" ht="15.75" customHeight="1">
      <c r="B217" s="260"/>
      <c r="C217" s="260"/>
      <c r="D217" s="260"/>
      <c r="F217" s="260"/>
    </row>
    <row r="218" ht="15.75" customHeight="1">
      <c r="B218" s="260"/>
      <c r="C218" s="260"/>
      <c r="D218" s="260"/>
      <c r="F218" s="260"/>
    </row>
    <row r="219" ht="15.75" customHeight="1">
      <c r="B219" s="260"/>
      <c r="C219" s="260"/>
      <c r="D219" s="260"/>
      <c r="F219" s="260"/>
    </row>
    <row r="220" ht="15.75" customHeight="1">
      <c r="B220" s="260"/>
      <c r="C220" s="260"/>
      <c r="D220" s="260"/>
      <c r="F220" s="260"/>
    </row>
    <row r="221" ht="15.75" customHeight="1">
      <c r="B221" s="260"/>
      <c r="C221" s="260"/>
      <c r="D221" s="260"/>
      <c r="F221" s="260"/>
    </row>
    <row r="222" ht="15.75" customHeight="1">
      <c r="B222" s="260"/>
      <c r="C222" s="260"/>
      <c r="D222" s="260"/>
      <c r="F222" s="260"/>
    </row>
    <row r="223" ht="15.75" customHeight="1">
      <c r="B223" s="260"/>
      <c r="C223" s="260"/>
      <c r="D223" s="260"/>
      <c r="F223" s="260"/>
    </row>
    <row r="224" ht="15.75" customHeight="1">
      <c r="B224" s="260"/>
      <c r="C224" s="260"/>
      <c r="D224" s="260"/>
      <c r="F224" s="260"/>
    </row>
    <row r="225" ht="15.75" customHeight="1">
      <c r="B225" s="260"/>
      <c r="C225" s="260"/>
      <c r="D225" s="260"/>
      <c r="F225" s="260"/>
    </row>
    <row r="226" ht="15.75" customHeight="1">
      <c r="B226" s="260"/>
      <c r="C226" s="260"/>
      <c r="D226" s="260"/>
      <c r="F226" s="260"/>
    </row>
    <row r="227" ht="15.75" customHeight="1">
      <c r="B227" s="260"/>
      <c r="C227" s="260"/>
      <c r="D227" s="260"/>
      <c r="F227" s="260"/>
    </row>
    <row r="228" ht="15.75" customHeight="1">
      <c r="B228" s="260"/>
      <c r="C228" s="260"/>
      <c r="D228" s="260"/>
      <c r="F228" s="260"/>
    </row>
    <row r="229" ht="15.75" customHeight="1">
      <c r="B229" s="260"/>
      <c r="C229" s="260"/>
      <c r="D229" s="260"/>
      <c r="F229" s="260"/>
    </row>
    <row r="230" ht="15.75" customHeight="1">
      <c r="B230" s="260"/>
      <c r="C230" s="260"/>
      <c r="D230" s="260"/>
      <c r="F230" s="260"/>
    </row>
    <row r="231" ht="15.75" customHeight="1">
      <c r="B231" s="260"/>
      <c r="C231" s="260"/>
      <c r="D231" s="260"/>
      <c r="F231" s="260"/>
    </row>
    <row r="232" ht="15.75" customHeight="1">
      <c r="B232" s="260"/>
      <c r="C232" s="260"/>
      <c r="D232" s="260"/>
      <c r="F232" s="260"/>
    </row>
    <row r="233" ht="15.75" customHeight="1">
      <c r="B233" s="260"/>
      <c r="C233" s="260"/>
      <c r="D233" s="260"/>
      <c r="F233" s="260"/>
    </row>
    <row r="234" ht="15.75" customHeight="1">
      <c r="B234" s="260"/>
      <c r="C234" s="260"/>
      <c r="D234" s="260"/>
      <c r="F234" s="260"/>
    </row>
    <row r="235" ht="15.75" customHeight="1">
      <c r="B235" s="260"/>
      <c r="C235" s="260"/>
      <c r="D235" s="260"/>
      <c r="F235" s="260"/>
    </row>
    <row r="236" ht="15.75" customHeight="1">
      <c r="B236" s="260"/>
      <c r="C236" s="260"/>
      <c r="D236" s="260"/>
      <c r="F236" s="260"/>
    </row>
    <row r="237" ht="15.75" customHeight="1">
      <c r="B237" s="260"/>
      <c r="C237" s="260"/>
      <c r="D237" s="260"/>
      <c r="F237" s="260"/>
    </row>
    <row r="238" ht="15.75" customHeight="1">
      <c r="B238" s="260"/>
      <c r="C238" s="260"/>
      <c r="D238" s="260"/>
      <c r="F238" s="260"/>
    </row>
    <row r="239" ht="15.75" customHeight="1">
      <c r="B239" s="260"/>
      <c r="C239" s="260"/>
      <c r="D239" s="260"/>
      <c r="F239" s="260"/>
    </row>
    <row r="240" ht="15.75" customHeight="1">
      <c r="B240" s="260"/>
      <c r="C240" s="260"/>
      <c r="D240" s="260"/>
      <c r="F240" s="260"/>
    </row>
    <row r="241" ht="15.75" customHeight="1">
      <c r="B241" s="260"/>
      <c r="C241" s="260"/>
      <c r="D241" s="260"/>
      <c r="F241" s="260"/>
    </row>
    <row r="242" ht="15.75" customHeight="1">
      <c r="B242" s="260"/>
      <c r="C242" s="260"/>
      <c r="D242" s="260"/>
      <c r="F242" s="260"/>
    </row>
    <row r="243" ht="15.75" customHeight="1">
      <c r="B243" s="260"/>
      <c r="C243" s="260"/>
      <c r="D243" s="260"/>
      <c r="F243" s="260"/>
    </row>
    <row r="244" ht="15.75" customHeight="1">
      <c r="B244" s="260"/>
      <c r="C244" s="260"/>
      <c r="D244" s="260"/>
      <c r="F244" s="260"/>
    </row>
    <row r="245" ht="15.75" customHeight="1">
      <c r="B245" s="260"/>
      <c r="C245" s="260"/>
      <c r="D245" s="260"/>
      <c r="F245" s="260"/>
    </row>
    <row r="246" ht="15.75" customHeight="1">
      <c r="B246" s="260"/>
      <c r="C246" s="260"/>
      <c r="D246" s="260"/>
      <c r="F246" s="260"/>
    </row>
    <row r="247" ht="15.75" customHeight="1">
      <c r="B247" s="260"/>
      <c r="C247" s="260"/>
      <c r="D247" s="260"/>
      <c r="F247" s="260"/>
    </row>
    <row r="248" ht="15.75" customHeight="1">
      <c r="B248" s="260"/>
      <c r="C248" s="260"/>
      <c r="D248" s="260"/>
      <c r="F248" s="260"/>
    </row>
    <row r="249" ht="15.75" customHeight="1">
      <c r="B249" s="260"/>
      <c r="C249" s="260"/>
      <c r="D249" s="260"/>
      <c r="F249" s="260"/>
    </row>
    <row r="250" ht="15.75" customHeight="1">
      <c r="B250" s="260"/>
      <c r="C250" s="260"/>
      <c r="D250" s="260"/>
      <c r="F250" s="260"/>
    </row>
    <row r="251" ht="15.75" customHeight="1">
      <c r="B251" s="260"/>
      <c r="C251" s="260"/>
      <c r="D251" s="260"/>
      <c r="F251" s="260"/>
    </row>
    <row r="252" ht="15.75" customHeight="1">
      <c r="B252" s="260"/>
      <c r="C252" s="260"/>
      <c r="D252" s="260"/>
      <c r="F252" s="260"/>
    </row>
    <row r="253" ht="15.75" customHeight="1">
      <c r="B253" s="260"/>
      <c r="C253" s="260"/>
      <c r="D253" s="260"/>
      <c r="F253" s="260"/>
    </row>
    <row r="254" ht="15.75" customHeight="1">
      <c r="B254" s="260"/>
      <c r="C254" s="260"/>
      <c r="D254" s="260"/>
      <c r="F254" s="260"/>
    </row>
    <row r="255" ht="15.75" customHeight="1">
      <c r="B255" s="260"/>
      <c r="C255" s="260"/>
      <c r="D255" s="260"/>
      <c r="F255" s="260"/>
    </row>
    <row r="256" ht="15.75" customHeight="1">
      <c r="B256" s="260"/>
      <c r="C256" s="260"/>
      <c r="D256" s="260"/>
      <c r="F256" s="260"/>
    </row>
    <row r="257" ht="15.75" customHeight="1">
      <c r="B257" s="260"/>
      <c r="C257" s="260"/>
      <c r="D257" s="260"/>
      <c r="F257" s="260"/>
    </row>
    <row r="258" ht="15.75" customHeight="1">
      <c r="B258" s="260"/>
      <c r="C258" s="260"/>
      <c r="D258" s="260"/>
      <c r="F258" s="260"/>
    </row>
    <row r="259" ht="15.75" customHeight="1">
      <c r="B259" s="260"/>
      <c r="C259" s="260"/>
      <c r="D259" s="260"/>
      <c r="F259" s="260"/>
    </row>
    <row r="260" ht="15.75" customHeight="1">
      <c r="B260" s="260"/>
      <c r="C260" s="260"/>
      <c r="D260" s="260"/>
      <c r="F260" s="260"/>
    </row>
    <row r="261" ht="15.75" customHeight="1">
      <c r="B261" s="260"/>
      <c r="C261" s="260"/>
      <c r="D261" s="260"/>
      <c r="F261" s="260"/>
    </row>
    <row r="262" ht="15.75" customHeight="1">
      <c r="B262" s="260"/>
      <c r="C262" s="260"/>
      <c r="D262" s="260"/>
      <c r="F262" s="260"/>
    </row>
    <row r="263" ht="15.75" customHeight="1">
      <c r="B263" s="260"/>
      <c r="C263" s="260"/>
      <c r="D263" s="260"/>
      <c r="F263" s="260"/>
    </row>
    <row r="264" ht="15.75" customHeight="1">
      <c r="B264" s="260"/>
      <c r="C264" s="260"/>
      <c r="D264" s="260"/>
      <c r="F264" s="260"/>
    </row>
    <row r="265" ht="15.75" customHeight="1">
      <c r="B265" s="260"/>
      <c r="C265" s="260"/>
      <c r="D265" s="260"/>
      <c r="F265" s="260"/>
    </row>
    <row r="266" ht="15.75" customHeight="1">
      <c r="B266" s="260"/>
      <c r="C266" s="260"/>
      <c r="D266" s="260"/>
      <c r="F266" s="260"/>
    </row>
    <row r="267" ht="15.75" customHeight="1">
      <c r="B267" s="260"/>
      <c r="C267" s="260"/>
      <c r="D267" s="260"/>
      <c r="F267" s="260"/>
    </row>
    <row r="268" ht="15.75" customHeight="1">
      <c r="B268" s="260"/>
      <c r="C268" s="260"/>
      <c r="D268" s="260"/>
      <c r="F268" s="260"/>
    </row>
    <row r="269" ht="15.75" customHeight="1">
      <c r="B269" s="260"/>
      <c r="C269" s="260"/>
      <c r="D269" s="260"/>
      <c r="F269" s="260"/>
    </row>
    <row r="270" ht="15.75" customHeight="1">
      <c r="B270" s="260"/>
      <c r="C270" s="260"/>
      <c r="D270" s="260"/>
      <c r="F270" s="260"/>
    </row>
    <row r="271" ht="15.75" customHeight="1">
      <c r="B271" s="260"/>
      <c r="C271" s="260"/>
      <c r="D271" s="260"/>
      <c r="F271" s="260"/>
    </row>
    <row r="272" ht="15.75" customHeight="1">
      <c r="B272" s="260"/>
      <c r="C272" s="260"/>
      <c r="D272" s="260"/>
      <c r="F272" s="260"/>
    </row>
    <row r="273" ht="15.75" customHeight="1">
      <c r="B273" s="260"/>
      <c r="C273" s="260"/>
      <c r="D273" s="260"/>
      <c r="F273" s="260"/>
    </row>
    <row r="274" ht="15.75" customHeight="1">
      <c r="B274" s="260"/>
      <c r="C274" s="260"/>
      <c r="D274" s="260"/>
      <c r="F274" s="260"/>
    </row>
    <row r="275" ht="15.75" customHeight="1">
      <c r="B275" s="260"/>
      <c r="C275" s="260"/>
      <c r="D275" s="260"/>
      <c r="F275" s="260"/>
    </row>
    <row r="276" ht="15.75" customHeight="1">
      <c r="B276" s="260"/>
      <c r="C276" s="260"/>
      <c r="D276" s="260"/>
      <c r="F276" s="260"/>
    </row>
    <row r="277" ht="15.75" customHeight="1">
      <c r="B277" s="260"/>
      <c r="C277" s="260"/>
      <c r="D277" s="260"/>
      <c r="F277" s="260"/>
    </row>
    <row r="278" ht="15.75" customHeight="1">
      <c r="B278" s="260"/>
      <c r="C278" s="260"/>
      <c r="D278" s="260"/>
      <c r="F278" s="260"/>
    </row>
    <row r="279" ht="15.75" customHeight="1">
      <c r="B279" s="260"/>
      <c r="C279" s="260"/>
      <c r="D279" s="260"/>
      <c r="F279" s="260"/>
    </row>
    <row r="280" ht="15.75" customHeight="1">
      <c r="B280" s="260"/>
      <c r="C280" s="260"/>
      <c r="D280" s="260"/>
      <c r="F280" s="260"/>
    </row>
    <row r="281" ht="15.75" customHeight="1">
      <c r="B281" s="260"/>
      <c r="C281" s="260"/>
      <c r="D281" s="260"/>
      <c r="F281" s="260"/>
    </row>
    <row r="282" ht="15.75" customHeight="1">
      <c r="B282" s="260"/>
      <c r="C282" s="260"/>
      <c r="D282" s="260"/>
      <c r="F282" s="260"/>
    </row>
    <row r="283" ht="15.75" customHeight="1">
      <c r="B283" s="260"/>
      <c r="C283" s="260"/>
      <c r="D283" s="260"/>
      <c r="F283" s="260"/>
    </row>
    <row r="284" ht="15.75" customHeight="1">
      <c r="B284" s="260"/>
      <c r="C284" s="260"/>
      <c r="D284" s="260"/>
      <c r="F284" s="260"/>
    </row>
    <row r="285" ht="15.75" customHeight="1">
      <c r="B285" s="260"/>
      <c r="C285" s="260"/>
      <c r="D285" s="260"/>
      <c r="F285" s="260"/>
    </row>
    <row r="286" ht="15.75" customHeight="1">
      <c r="B286" s="260"/>
      <c r="C286" s="260"/>
      <c r="D286" s="260"/>
      <c r="F286" s="260"/>
    </row>
    <row r="287" ht="15.75" customHeight="1">
      <c r="B287" s="260"/>
      <c r="C287" s="260"/>
      <c r="D287" s="260"/>
      <c r="F287" s="260"/>
    </row>
    <row r="288" ht="15.75" customHeight="1">
      <c r="B288" s="260"/>
      <c r="C288" s="260"/>
      <c r="D288" s="260"/>
      <c r="F288" s="260"/>
    </row>
    <row r="289" ht="15.75" customHeight="1">
      <c r="B289" s="260"/>
      <c r="C289" s="260"/>
      <c r="D289" s="260"/>
      <c r="F289" s="260"/>
    </row>
    <row r="290" ht="15.75" customHeight="1">
      <c r="B290" s="260"/>
      <c r="C290" s="260"/>
      <c r="D290" s="260"/>
      <c r="F290" s="260"/>
    </row>
    <row r="291" ht="15.75" customHeight="1">
      <c r="B291" s="260"/>
      <c r="C291" s="260"/>
      <c r="D291" s="260"/>
      <c r="F291" s="260"/>
    </row>
    <row r="292" ht="15.75" customHeight="1">
      <c r="B292" s="260"/>
      <c r="C292" s="260"/>
      <c r="D292" s="260"/>
      <c r="F292" s="260"/>
    </row>
    <row r="293" ht="15.75" customHeight="1">
      <c r="B293" s="260"/>
      <c r="C293" s="260"/>
      <c r="D293" s="260"/>
      <c r="F293" s="260"/>
    </row>
    <row r="294" ht="15.75" customHeight="1">
      <c r="B294" s="260"/>
      <c r="C294" s="260"/>
      <c r="D294" s="260"/>
      <c r="F294" s="260"/>
    </row>
    <row r="295" ht="15.75" customHeight="1">
      <c r="B295" s="260"/>
      <c r="C295" s="260"/>
      <c r="D295" s="260"/>
      <c r="F295" s="260"/>
    </row>
    <row r="296" ht="15.75" customHeight="1">
      <c r="B296" s="260"/>
      <c r="C296" s="260"/>
      <c r="D296" s="260"/>
      <c r="F296" s="260"/>
    </row>
    <row r="297" ht="15.75" customHeight="1">
      <c r="B297" s="260"/>
      <c r="C297" s="260"/>
      <c r="D297" s="260"/>
      <c r="F297" s="260"/>
    </row>
    <row r="298" ht="15.75" customHeight="1">
      <c r="B298" s="260"/>
      <c r="C298" s="260"/>
      <c r="D298" s="260"/>
      <c r="F298" s="260"/>
    </row>
    <row r="299" ht="15.75" customHeight="1">
      <c r="B299" s="260"/>
      <c r="C299" s="260"/>
      <c r="D299" s="260"/>
      <c r="F299" s="260"/>
    </row>
    <row r="300" ht="15.75" customHeight="1">
      <c r="B300" s="260"/>
      <c r="C300" s="260"/>
      <c r="D300" s="260"/>
      <c r="F300" s="260"/>
    </row>
    <row r="301" ht="15.75" customHeight="1">
      <c r="B301" s="260"/>
      <c r="C301" s="260"/>
      <c r="D301" s="260"/>
      <c r="F301" s="260"/>
    </row>
    <row r="302" ht="15.75" customHeight="1">
      <c r="B302" s="260"/>
      <c r="C302" s="260"/>
      <c r="D302" s="260"/>
      <c r="F302" s="260"/>
    </row>
    <row r="303" ht="15.75" customHeight="1">
      <c r="B303" s="260"/>
      <c r="C303" s="260"/>
      <c r="D303" s="260"/>
      <c r="F303" s="260"/>
    </row>
    <row r="304" ht="15.75" customHeight="1">
      <c r="B304" s="260"/>
      <c r="C304" s="260"/>
      <c r="D304" s="260"/>
      <c r="F304" s="260"/>
    </row>
    <row r="305" ht="15.75" customHeight="1">
      <c r="B305" s="260"/>
      <c r="C305" s="260"/>
      <c r="D305" s="260"/>
      <c r="F305" s="260"/>
    </row>
    <row r="306" ht="15.75" customHeight="1">
      <c r="B306" s="260"/>
      <c r="C306" s="260"/>
      <c r="D306" s="260"/>
      <c r="F306" s="260"/>
    </row>
    <row r="307" ht="15.75" customHeight="1">
      <c r="B307" s="260"/>
      <c r="C307" s="260"/>
      <c r="D307" s="260"/>
      <c r="F307" s="260"/>
    </row>
    <row r="308" ht="15.75" customHeight="1">
      <c r="B308" s="260"/>
      <c r="C308" s="260"/>
      <c r="D308" s="260"/>
      <c r="F308" s="260"/>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2.0"/>
    <col customWidth="1" min="3" max="3" width="111.57"/>
    <col customWidth="1" min="4" max="4" width="24.71"/>
    <col customWidth="1" min="5" max="6" width="9.14"/>
    <col customWidth="1" min="7" max="24" width="8.71"/>
  </cols>
  <sheetData>
    <row r="1" ht="12.75" customHeight="1">
      <c r="A1" s="290"/>
      <c r="B1" s="423" t="s">
        <v>1055</v>
      </c>
      <c r="C1" s="423" t="s">
        <v>365</v>
      </c>
      <c r="D1" s="423" t="s">
        <v>430</v>
      </c>
      <c r="E1" s="290"/>
      <c r="F1" s="290"/>
      <c r="G1" s="290"/>
      <c r="H1" s="290"/>
      <c r="I1" s="290"/>
      <c r="J1" s="290"/>
      <c r="K1" s="290"/>
      <c r="L1" s="290"/>
      <c r="M1" s="290"/>
      <c r="N1" s="290"/>
      <c r="O1" s="290"/>
      <c r="P1" s="290"/>
      <c r="Q1" s="290"/>
      <c r="R1" s="290"/>
      <c r="S1" s="290"/>
      <c r="T1" s="290"/>
      <c r="U1" s="290"/>
      <c r="V1" s="290"/>
      <c r="W1" s="290"/>
      <c r="X1" s="290"/>
      <c r="Y1" s="290"/>
      <c r="Z1" s="290"/>
    </row>
    <row r="2" ht="12.75" customHeight="1">
      <c r="A2" s="290">
        <v>1.0</v>
      </c>
      <c r="B2" s="424">
        <v>0.0</v>
      </c>
      <c r="C2" s="425" t="s">
        <v>1062</v>
      </c>
      <c r="D2" s="424">
        <v>0.0</v>
      </c>
      <c r="E2" s="290"/>
      <c r="F2" s="290"/>
      <c r="G2" s="290"/>
      <c r="H2" s="290"/>
      <c r="I2" s="290"/>
      <c r="J2" s="290"/>
      <c r="K2" s="290"/>
      <c r="L2" s="290"/>
      <c r="M2" s="290"/>
      <c r="N2" s="290"/>
      <c r="O2" s="290"/>
      <c r="P2" s="290"/>
      <c r="Q2" s="290"/>
      <c r="R2" s="290"/>
      <c r="S2" s="290"/>
      <c r="T2" s="290"/>
      <c r="U2" s="290"/>
      <c r="V2" s="290"/>
      <c r="W2" s="290"/>
      <c r="X2" s="290"/>
      <c r="Y2" s="290"/>
      <c r="Z2" s="290"/>
    </row>
    <row r="3" ht="12.75" customHeight="1">
      <c r="A3" s="290">
        <v>2.0</v>
      </c>
      <c r="B3" s="424">
        <v>1.0</v>
      </c>
      <c r="C3" s="425" t="s">
        <v>1066</v>
      </c>
      <c r="D3" s="424">
        <v>350.0</v>
      </c>
      <c r="E3" s="290"/>
      <c r="F3" s="290"/>
      <c r="G3" s="290"/>
      <c r="H3" s="290"/>
      <c r="I3" s="290"/>
      <c r="J3" s="290"/>
      <c r="K3" s="290"/>
      <c r="L3" s="290"/>
      <c r="M3" s="290"/>
      <c r="N3" s="290"/>
      <c r="O3" s="290"/>
      <c r="P3" s="290"/>
      <c r="Q3" s="290"/>
      <c r="R3" s="290"/>
      <c r="S3" s="290"/>
      <c r="T3" s="290"/>
      <c r="U3" s="290"/>
      <c r="V3" s="290"/>
      <c r="W3" s="290"/>
      <c r="X3" s="290"/>
      <c r="Y3" s="290"/>
      <c r="Z3" s="290"/>
    </row>
    <row r="4" ht="12.75" customHeight="1">
      <c r="A4" s="290">
        <v>3.0</v>
      </c>
      <c r="B4" s="424">
        <v>2.0</v>
      </c>
      <c r="C4" s="425" t="s">
        <v>1071</v>
      </c>
      <c r="D4" s="424">
        <v>400.0</v>
      </c>
      <c r="E4" s="290"/>
      <c r="F4" s="290"/>
      <c r="G4" s="290"/>
      <c r="H4" s="290"/>
      <c r="I4" s="290"/>
      <c r="J4" s="290"/>
      <c r="K4" s="290"/>
      <c r="L4" s="290"/>
      <c r="M4" s="290"/>
      <c r="N4" s="290"/>
      <c r="O4" s="290"/>
      <c r="P4" s="290"/>
      <c r="Q4" s="290"/>
      <c r="R4" s="290"/>
      <c r="S4" s="290"/>
      <c r="T4" s="290"/>
      <c r="U4" s="290"/>
      <c r="V4" s="290"/>
      <c r="W4" s="290"/>
      <c r="X4" s="290"/>
      <c r="Y4" s="290"/>
      <c r="Z4" s="290"/>
    </row>
    <row r="5" ht="12.75" customHeight="1">
      <c r="A5" s="290">
        <v>4.0</v>
      </c>
      <c r="B5" s="424">
        <v>3.0</v>
      </c>
      <c r="C5" s="425" t="s">
        <v>1075</v>
      </c>
      <c r="D5" s="424">
        <v>500.0</v>
      </c>
      <c r="E5" s="290"/>
      <c r="F5" s="290"/>
      <c r="G5" s="290"/>
      <c r="H5" s="290"/>
      <c r="I5" s="290"/>
      <c r="J5" s="290"/>
      <c r="K5" s="290"/>
      <c r="L5" s="290"/>
      <c r="M5" s="290"/>
      <c r="N5" s="290"/>
      <c r="O5" s="290"/>
      <c r="P5" s="290"/>
      <c r="Q5" s="290"/>
      <c r="R5" s="290"/>
      <c r="S5" s="290"/>
      <c r="T5" s="290"/>
      <c r="U5" s="290"/>
      <c r="V5" s="290"/>
      <c r="W5" s="290"/>
      <c r="X5" s="290"/>
      <c r="Y5" s="290"/>
      <c r="Z5" s="290"/>
    </row>
    <row r="6" ht="12.75" customHeight="1">
      <c r="A6" s="290">
        <v>5.0</v>
      </c>
      <c r="B6" s="424">
        <v>4.0</v>
      </c>
      <c r="C6" s="425" t="s">
        <v>1080</v>
      </c>
      <c r="D6" s="424">
        <v>900.0</v>
      </c>
      <c r="E6" s="290"/>
      <c r="F6" s="290"/>
      <c r="G6" s="290"/>
      <c r="H6" s="290"/>
      <c r="I6" s="290"/>
      <c r="J6" s="290"/>
      <c r="K6" s="290"/>
      <c r="L6" s="290"/>
      <c r="M6" s="290"/>
      <c r="N6" s="290"/>
      <c r="O6" s="290"/>
      <c r="P6" s="290"/>
      <c r="Q6" s="290"/>
      <c r="R6" s="290"/>
      <c r="S6" s="290"/>
      <c r="T6" s="290"/>
      <c r="U6" s="290"/>
      <c r="V6" s="290"/>
      <c r="W6" s="290"/>
      <c r="X6" s="290"/>
      <c r="Y6" s="290"/>
      <c r="Z6" s="290"/>
    </row>
    <row r="7" ht="12.75" customHeight="1">
      <c r="A7" s="290"/>
      <c r="B7" s="427"/>
      <c r="C7" s="290"/>
      <c r="D7" s="427"/>
      <c r="E7" s="290"/>
      <c r="F7" s="290"/>
      <c r="G7" s="290"/>
      <c r="H7" s="290"/>
      <c r="I7" s="290"/>
      <c r="J7" s="290"/>
      <c r="K7" s="290"/>
      <c r="L7" s="290"/>
      <c r="M7" s="290"/>
      <c r="N7" s="290"/>
      <c r="O7" s="290"/>
      <c r="P7" s="290"/>
      <c r="Q7" s="290"/>
      <c r="R7" s="290"/>
      <c r="S7" s="290"/>
      <c r="T7" s="290"/>
      <c r="U7" s="290"/>
      <c r="V7" s="290"/>
      <c r="W7" s="290"/>
      <c r="X7" s="290"/>
      <c r="Y7" s="290"/>
      <c r="Z7" s="290"/>
    </row>
    <row r="8" ht="12.75" customHeight="1">
      <c r="A8" s="290"/>
      <c r="B8" s="427"/>
      <c r="C8" s="290"/>
      <c r="D8" s="427"/>
      <c r="E8" s="290"/>
      <c r="F8" s="290"/>
      <c r="G8" s="290"/>
      <c r="H8" s="290"/>
      <c r="I8" s="290"/>
      <c r="J8" s="290"/>
      <c r="K8" s="290"/>
      <c r="L8" s="290"/>
      <c r="M8" s="290"/>
      <c r="N8" s="290"/>
      <c r="O8" s="290"/>
      <c r="P8" s="290"/>
      <c r="Q8" s="290"/>
      <c r="R8" s="290"/>
      <c r="S8" s="290"/>
      <c r="T8" s="290"/>
      <c r="U8" s="290"/>
      <c r="V8" s="290"/>
      <c r="W8" s="290"/>
      <c r="X8" s="290"/>
      <c r="Y8" s="290"/>
      <c r="Z8" s="290"/>
    </row>
    <row r="9" ht="12.75" customHeight="1">
      <c r="A9" s="290"/>
      <c r="B9" s="427"/>
      <c r="C9" s="290"/>
      <c r="D9" s="427"/>
      <c r="E9" s="290"/>
      <c r="F9" s="290"/>
      <c r="G9" s="290"/>
      <c r="H9" s="290"/>
      <c r="I9" s="290"/>
      <c r="J9" s="290"/>
      <c r="K9" s="290"/>
      <c r="L9" s="290"/>
      <c r="M9" s="290"/>
      <c r="N9" s="290"/>
      <c r="O9" s="290"/>
      <c r="P9" s="290"/>
      <c r="Q9" s="290"/>
      <c r="R9" s="290"/>
      <c r="S9" s="290"/>
      <c r="T9" s="290"/>
      <c r="U9" s="290"/>
      <c r="V9" s="290"/>
      <c r="W9" s="290"/>
      <c r="X9" s="290"/>
      <c r="Y9" s="290"/>
      <c r="Z9" s="290"/>
    </row>
    <row r="10" ht="12.75" customHeight="1">
      <c r="A10" s="290"/>
      <c r="B10" s="427"/>
      <c r="C10" s="290"/>
      <c r="D10" s="427"/>
      <c r="E10" s="290"/>
      <c r="F10" s="290"/>
      <c r="G10" s="290"/>
      <c r="H10" s="290"/>
      <c r="I10" s="290"/>
      <c r="J10" s="290"/>
      <c r="K10" s="290"/>
      <c r="L10" s="290"/>
      <c r="M10" s="290"/>
      <c r="N10" s="290"/>
      <c r="O10" s="290"/>
      <c r="P10" s="290"/>
      <c r="Q10" s="290"/>
      <c r="R10" s="290"/>
      <c r="S10" s="290"/>
      <c r="T10" s="290"/>
      <c r="U10" s="290"/>
      <c r="V10" s="290"/>
      <c r="W10" s="290"/>
      <c r="X10" s="290"/>
      <c r="Y10" s="290"/>
      <c r="Z10" s="290"/>
    </row>
    <row r="11" ht="12.75" customHeight="1">
      <c r="A11" s="290"/>
      <c r="B11" s="427" t="s">
        <v>1099</v>
      </c>
      <c r="C11" s="290"/>
      <c r="D11" s="427"/>
      <c r="E11" s="290"/>
      <c r="F11" s="290"/>
      <c r="G11" s="290"/>
      <c r="H11" s="290"/>
      <c r="I11" s="290"/>
      <c r="J11" s="290"/>
      <c r="K11" s="290"/>
      <c r="L11" s="290"/>
      <c r="M11" s="290"/>
      <c r="N11" s="290"/>
      <c r="O11" s="290"/>
      <c r="P11" s="290"/>
      <c r="Q11" s="290"/>
      <c r="R11" s="290"/>
      <c r="S11" s="290"/>
      <c r="T11" s="290"/>
      <c r="U11" s="290"/>
      <c r="V11" s="290"/>
      <c r="W11" s="290"/>
      <c r="X11" s="290"/>
      <c r="Y11" s="290"/>
      <c r="Z11" s="290"/>
    </row>
    <row r="12" ht="12.75" customHeight="1">
      <c r="A12" s="290"/>
      <c r="B12" s="427" t="s">
        <v>1104</v>
      </c>
      <c r="C12" s="290"/>
      <c r="D12" s="427"/>
      <c r="E12" s="290"/>
      <c r="F12" s="290"/>
      <c r="G12" s="290"/>
      <c r="H12" s="290"/>
      <c r="I12" s="290"/>
      <c r="J12" s="290"/>
      <c r="K12" s="290"/>
      <c r="L12" s="290"/>
      <c r="M12" s="290"/>
      <c r="N12" s="290"/>
      <c r="O12" s="290"/>
      <c r="P12" s="290"/>
      <c r="Q12" s="290"/>
      <c r="R12" s="290"/>
      <c r="S12" s="290"/>
      <c r="T12" s="290"/>
      <c r="U12" s="290"/>
      <c r="V12" s="290"/>
      <c r="W12" s="290"/>
      <c r="X12" s="290"/>
      <c r="Y12" s="290"/>
      <c r="Z12" s="290"/>
    </row>
    <row r="13" ht="12.75" customHeight="1">
      <c r="A13" s="290"/>
      <c r="B13" s="427"/>
      <c r="C13" s="290"/>
      <c r="D13" s="427"/>
      <c r="E13" s="290"/>
      <c r="F13" s="290"/>
      <c r="G13" s="290"/>
      <c r="H13" s="290"/>
      <c r="I13" s="290"/>
      <c r="J13" s="290"/>
      <c r="K13" s="290"/>
      <c r="L13" s="290"/>
      <c r="M13" s="290"/>
      <c r="N13" s="290"/>
      <c r="O13" s="290"/>
      <c r="P13" s="290"/>
      <c r="Q13" s="290"/>
      <c r="R13" s="290"/>
      <c r="S13" s="290"/>
      <c r="T13" s="290"/>
      <c r="U13" s="290"/>
      <c r="V13" s="290"/>
      <c r="W13" s="290"/>
      <c r="X13" s="290"/>
      <c r="Y13" s="290"/>
      <c r="Z13" s="290"/>
    </row>
    <row r="14" ht="12.75" customHeight="1">
      <c r="A14" s="290"/>
      <c r="B14" s="427"/>
      <c r="C14" s="290"/>
      <c r="D14" s="427"/>
      <c r="E14" s="290"/>
      <c r="F14" s="290"/>
      <c r="G14" s="290"/>
      <c r="H14" s="290"/>
      <c r="I14" s="290"/>
      <c r="J14" s="290"/>
      <c r="K14" s="290"/>
      <c r="L14" s="290"/>
      <c r="M14" s="290"/>
      <c r="N14" s="290"/>
      <c r="O14" s="290"/>
      <c r="P14" s="290"/>
      <c r="Q14" s="290"/>
      <c r="R14" s="290"/>
      <c r="S14" s="290"/>
      <c r="T14" s="290"/>
      <c r="U14" s="290"/>
      <c r="V14" s="290"/>
      <c r="W14" s="290"/>
      <c r="X14" s="290"/>
      <c r="Y14" s="290"/>
      <c r="Z14" s="290"/>
    </row>
    <row r="15" ht="12.75" customHeight="1">
      <c r="A15" s="290"/>
      <c r="B15" s="427"/>
      <c r="C15" s="290"/>
      <c r="D15" s="427"/>
      <c r="E15" s="290"/>
      <c r="F15" s="290"/>
      <c r="G15" s="290"/>
      <c r="H15" s="290"/>
      <c r="I15" s="290"/>
      <c r="J15" s="290"/>
      <c r="K15" s="290"/>
      <c r="L15" s="290"/>
      <c r="M15" s="290"/>
      <c r="N15" s="290"/>
      <c r="O15" s="290"/>
      <c r="P15" s="290"/>
      <c r="Q15" s="290"/>
      <c r="R15" s="290"/>
      <c r="S15" s="290"/>
      <c r="T15" s="290"/>
      <c r="U15" s="290"/>
      <c r="V15" s="290"/>
      <c r="W15" s="290"/>
      <c r="X15" s="290"/>
      <c r="Y15" s="290"/>
      <c r="Z15" s="290"/>
    </row>
    <row r="16" ht="12.75" customHeight="1">
      <c r="A16" s="290"/>
      <c r="B16" s="427"/>
      <c r="C16" s="290"/>
      <c r="D16" s="427"/>
      <c r="E16" s="290"/>
      <c r="F16" s="290"/>
      <c r="G16" s="290"/>
      <c r="H16" s="290"/>
      <c r="I16" s="290"/>
      <c r="J16" s="290"/>
      <c r="K16" s="290"/>
      <c r="L16" s="290"/>
      <c r="M16" s="290"/>
      <c r="N16" s="290"/>
      <c r="O16" s="290"/>
      <c r="P16" s="290"/>
      <c r="Q16" s="290"/>
      <c r="R16" s="290"/>
      <c r="S16" s="290"/>
      <c r="T16" s="290"/>
      <c r="U16" s="290"/>
      <c r="V16" s="290"/>
      <c r="W16" s="290"/>
      <c r="X16" s="290"/>
      <c r="Y16" s="290"/>
      <c r="Z16" s="290"/>
    </row>
    <row r="17" ht="12.75" customHeight="1">
      <c r="A17" s="290"/>
      <c r="B17" s="427"/>
      <c r="C17" s="290"/>
      <c r="D17" s="427"/>
      <c r="E17" s="290"/>
      <c r="F17" s="290"/>
      <c r="G17" s="290"/>
      <c r="H17" s="290"/>
      <c r="I17" s="290"/>
      <c r="J17" s="290"/>
      <c r="K17" s="290"/>
      <c r="L17" s="290"/>
      <c r="M17" s="290"/>
      <c r="N17" s="290"/>
      <c r="O17" s="290"/>
      <c r="P17" s="290"/>
      <c r="Q17" s="290"/>
      <c r="R17" s="290"/>
      <c r="S17" s="290"/>
      <c r="T17" s="290"/>
      <c r="U17" s="290"/>
      <c r="V17" s="290"/>
      <c r="W17" s="290"/>
      <c r="X17" s="290"/>
      <c r="Y17" s="290"/>
      <c r="Z17" s="290"/>
    </row>
    <row r="18" ht="12.75" customHeight="1">
      <c r="A18" s="290"/>
      <c r="B18" s="427"/>
      <c r="C18" s="290"/>
      <c r="D18" s="427"/>
      <c r="E18" s="290"/>
      <c r="F18" s="290"/>
      <c r="G18" s="290"/>
      <c r="H18" s="290"/>
      <c r="I18" s="290"/>
      <c r="J18" s="290"/>
      <c r="K18" s="290"/>
      <c r="L18" s="290"/>
      <c r="M18" s="290"/>
      <c r="N18" s="290"/>
      <c r="O18" s="290"/>
      <c r="P18" s="290"/>
      <c r="Q18" s="290"/>
      <c r="R18" s="290"/>
      <c r="S18" s="290"/>
      <c r="T18" s="290"/>
      <c r="U18" s="290"/>
      <c r="V18" s="290"/>
      <c r="W18" s="290"/>
      <c r="X18" s="290"/>
      <c r="Y18" s="290"/>
      <c r="Z18" s="290"/>
    </row>
    <row r="19" ht="12.75" customHeight="1">
      <c r="A19" s="290"/>
      <c r="B19" s="427"/>
      <c r="C19" s="290"/>
      <c r="D19" s="427"/>
      <c r="E19" s="290"/>
      <c r="F19" s="290"/>
      <c r="G19" s="290"/>
      <c r="H19" s="290"/>
      <c r="I19" s="290"/>
      <c r="J19" s="290"/>
      <c r="K19" s="290"/>
      <c r="L19" s="290"/>
      <c r="M19" s="290"/>
      <c r="N19" s="290"/>
      <c r="O19" s="290"/>
      <c r="P19" s="290"/>
      <c r="Q19" s="290"/>
      <c r="R19" s="290"/>
      <c r="S19" s="290"/>
      <c r="T19" s="290"/>
      <c r="U19" s="290"/>
      <c r="V19" s="290"/>
      <c r="W19" s="290"/>
      <c r="X19" s="290"/>
      <c r="Y19" s="290"/>
      <c r="Z19" s="290"/>
    </row>
    <row r="20" ht="12.75" customHeight="1">
      <c r="A20" s="290"/>
      <c r="B20" s="427"/>
      <c r="C20" s="290"/>
      <c r="D20" s="427"/>
      <c r="E20" s="290"/>
      <c r="F20" s="290"/>
      <c r="G20" s="290"/>
      <c r="H20" s="290"/>
      <c r="I20" s="290"/>
      <c r="J20" s="290"/>
      <c r="K20" s="290"/>
      <c r="L20" s="290"/>
      <c r="M20" s="290"/>
      <c r="N20" s="290"/>
      <c r="O20" s="290"/>
      <c r="P20" s="290"/>
      <c r="Q20" s="290"/>
      <c r="R20" s="290"/>
      <c r="S20" s="290"/>
      <c r="T20" s="290"/>
      <c r="U20" s="290"/>
      <c r="V20" s="290"/>
      <c r="W20" s="290"/>
      <c r="X20" s="290"/>
      <c r="Y20" s="290"/>
      <c r="Z20" s="290"/>
    </row>
    <row r="21" ht="12.75" customHeight="1">
      <c r="A21" s="290"/>
      <c r="B21" s="427"/>
      <c r="C21" s="290"/>
      <c r="D21" s="427"/>
      <c r="E21" s="290"/>
      <c r="F21" s="290"/>
      <c r="G21" s="290"/>
      <c r="H21" s="290"/>
      <c r="I21" s="290"/>
      <c r="J21" s="290"/>
      <c r="K21" s="290"/>
      <c r="L21" s="290"/>
      <c r="M21" s="290"/>
      <c r="N21" s="290"/>
      <c r="O21" s="290"/>
      <c r="P21" s="290"/>
      <c r="Q21" s="290"/>
      <c r="R21" s="290"/>
      <c r="S21" s="290"/>
      <c r="T21" s="290"/>
      <c r="U21" s="290"/>
      <c r="V21" s="290"/>
      <c r="W21" s="290"/>
      <c r="X21" s="290"/>
      <c r="Y21" s="290"/>
      <c r="Z21" s="290"/>
    </row>
    <row r="22" ht="12.75" customHeight="1">
      <c r="A22" s="290"/>
      <c r="B22" s="427"/>
      <c r="C22" s="290"/>
      <c r="D22" s="427"/>
      <c r="E22" s="290"/>
      <c r="F22" s="290"/>
      <c r="G22" s="290"/>
      <c r="H22" s="290"/>
      <c r="I22" s="290"/>
      <c r="J22" s="290"/>
      <c r="K22" s="290"/>
      <c r="L22" s="290"/>
      <c r="M22" s="290"/>
      <c r="N22" s="290"/>
      <c r="O22" s="290"/>
      <c r="P22" s="290"/>
      <c r="Q22" s="290"/>
      <c r="R22" s="290"/>
      <c r="S22" s="290"/>
      <c r="T22" s="290"/>
      <c r="U22" s="290"/>
      <c r="V22" s="290"/>
      <c r="W22" s="290"/>
      <c r="X22" s="290"/>
      <c r="Y22" s="290"/>
      <c r="Z22" s="290"/>
    </row>
    <row r="23" ht="12.75" customHeight="1">
      <c r="A23" s="290"/>
      <c r="B23" s="427"/>
      <c r="C23" s="290"/>
      <c r="D23" s="427"/>
      <c r="E23" s="290"/>
      <c r="F23" s="290"/>
      <c r="G23" s="290"/>
      <c r="H23" s="290"/>
      <c r="I23" s="290"/>
      <c r="J23" s="290"/>
      <c r="K23" s="290"/>
      <c r="L23" s="290"/>
      <c r="M23" s="290"/>
      <c r="N23" s="290"/>
      <c r="O23" s="290"/>
      <c r="P23" s="290"/>
      <c r="Q23" s="290"/>
      <c r="R23" s="290"/>
      <c r="S23" s="290"/>
      <c r="T23" s="290"/>
      <c r="U23" s="290"/>
      <c r="V23" s="290"/>
      <c r="W23" s="290"/>
      <c r="X23" s="290"/>
      <c r="Y23" s="290"/>
      <c r="Z23" s="290"/>
    </row>
    <row r="24" ht="12.75" customHeight="1">
      <c r="A24" s="290"/>
      <c r="B24" s="427"/>
      <c r="C24" s="290"/>
      <c r="D24" s="427"/>
      <c r="E24" s="290"/>
      <c r="F24" s="290"/>
      <c r="G24" s="290"/>
      <c r="H24" s="290"/>
      <c r="I24" s="290"/>
      <c r="J24" s="290"/>
      <c r="K24" s="290"/>
      <c r="L24" s="290"/>
      <c r="M24" s="290"/>
      <c r="N24" s="290"/>
      <c r="O24" s="290"/>
      <c r="P24" s="290"/>
      <c r="Q24" s="290"/>
      <c r="R24" s="290"/>
      <c r="S24" s="290"/>
      <c r="T24" s="290"/>
      <c r="U24" s="290"/>
      <c r="V24" s="290"/>
      <c r="W24" s="290"/>
      <c r="X24" s="290"/>
      <c r="Y24" s="290"/>
      <c r="Z24" s="290"/>
    </row>
    <row r="25" ht="12.75" customHeight="1">
      <c r="A25" s="290"/>
      <c r="B25" s="427"/>
      <c r="C25" s="290"/>
      <c r="D25" s="427"/>
      <c r="E25" s="290"/>
      <c r="F25" s="290"/>
      <c r="G25" s="290"/>
      <c r="H25" s="290"/>
      <c r="I25" s="290"/>
      <c r="J25" s="290"/>
      <c r="K25" s="290"/>
      <c r="L25" s="290"/>
      <c r="M25" s="290"/>
      <c r="N25" s="290"/>
      <c r="O25" s="290"/>
      <c r="P25" s="290"/>
      <c r="Q25" s="290"/>
      <c r="R25" s="290"/>
      <c r="S25" s="290"/>
      <c r="T25" s="290"/>
      <c r="U25" s="290"/>
      <c r="V25" s="290"/>
      <c r="W25" s="290"/>
      <c r="X25" s="290"/>
      <c r="Y25" s="290"/>
      <c r="Z25" s="290"/>
    </row>
    <row r="26" ht="12.75" customHeight="1">
      <c r="A26" s="290"/>
      <c r="B26" s="427"/>
      <c r="C26" s="290"/>
      <c r="D26" s="427"/>
      <c r="E26" s="290"/>
      <c r="F26" s="290"/>
      <c r="G26" s="290"/>
      <c r="H26" s="290"/>
      <c r="I26" s="290"/>
      <c r="J26" s="290"/>
      <c r="K26" s="290"/>
      <c r="L26" s="290"/>
      <c r="M26" s="290"/>
      <c r="N26" s="290"/>
      <c r="O26" s="290"/>
      <c r="P26" s="290"/>
      <c r="Q26" s="290"/>
      <c r="R26" s="290"/>
      <c r="S26" s="290"/>
      <c r="T26" s="290"/>
      <c r="U26" s="290"/>
      <c r="V26" s="290"/>
      <c r="W26" s="290"/>
      <c r="X26" s="290"/>
      <c r="Y26" s="290"/>
      <c r="Z26" s="290"/>
    </row>
    <row r="27" ht="12.75" customHeight="1">
      <c r="A27" s="290"/>
      <c r="B27" s="427"/>
      <c r="C27" s="290"/>
      <c r="D27" s="427"/>
      <c r="E27" s="290"/>
      <c r="F27" s="290"/>
      <c r="G27" s="290"/>
      <c r="H27" s="290"/>
      <c r="I27" s="290"/>
      <c r="J27" s="290"/>
      <c r="K27" s="290"/>
      <c r="L27" s="290"/>
      <c r="M27" s="290"/>
      <c r="N27" s="290"/>
      <c r="O27" s="290"/>
      <c r="P27" s="290"/>
      <c r="Q27" s="290"/>
      <c r="R27" s="290"/>
      <c r="S27" s="290"/>
      <c r="T27" s="290"/>
      <c r="U27" s="290"/>
      <c r="V27" s="290"/>
      <c r="W27" s="290"/>
      <c r="X27" s="290"/>
      <c r="Y27" s="290"/>
      <c r="Z27" s="290"/>
    </row>
    <row r="28" ht="12.75" customHeight="1">
      <c r="A28" s="290"/>
      <c r="B28" s="427"/>
      <c r="C28" s="290"/>
      <c r="D28" s="427"/>
      <c r="E28" s="290"/>
      <c r="F28" s="290"/>
      <c r="G28" s="290"/>
      <c r="H28" s="290"/>
      <c r="I28" s="290"/>
      <c r="J28" s="290"/>
      <c r="K28" s="290"/>
      <c r="L28" s="290"/>
      <c r="M28" s="290"/>
      <c r="N28" s="290"/>
      <c r="O28" s="290"/>
      <c r="P28" s="290"/>
      <c r="Q28" s="290"/>
      <c r="R28" s="290"/>
      <c r="S28" s="290"/>
      <c r="T28" s="290"/>
      <c r="U28" s="290"/>
      <c r="V28" s="290"/>
      <c r="W28" s="290"/>
      <c r="X28" s="290"/>
      <c r="Y28" s="290"/>
      <c r="Z28" s="290"/>
    </row>
    <row r="29" ht="12.75" customHeight="1">
      <c r="A29" s="290"/>
      <c r="B29" s="427"/>
      <c r="C29" s="290"/>
      <c r="D29" s="427"/>
      <c r="E29" s="290"/>
      <c r="F29" s="290"/>
      <c r="G29" s="290"/>
      <c r="H29" s="290"/>
      <c r="I29" s="290"/>
      <c r="J29" s="290"/>
      <c r="K29" s="290"/>
      <c r="L29" s="290"/>
      <c r="M29" s="290"/>
      <c r="N29" s="290"/>
      <c r="O29" s="290"/>
      <c r="P29" s="290"/>
      <c r="Q29" s="290"/>
      <c r="R29" s="290"/>
      <c r="S29" s="290"/>
      <c r="T29" s="290"/>
      <c r="U29" s="290"/>
      <c r="V29" s="290"/>
      <c r="W29" s="290"/>
      <c r="X29" s="290"/>
      <c r="Y29" s="290"/>
      <c r="Z29" s="290"/>
    </row>
    <row r="30" ht="12.75" customHeight="1">
      <c r="A30" s="290"/>
      <c r="B30" s="427"/>
      <c r="C30" s="290"/>
      <c r="D30" s="427"/>
      <c r="E30" s="290"/>
      <c r="F30" s="290"/>
      <c r="G30" s="290"/>
      <c r="H30" s="290"/>
      <c r="I30" s="290"/>
      <c r="J30" s="290"/>
      <c r="K30" s="290"/>
      <c r="L30" s="290"/>
      <c r="M30" s="290"/>
      <c r="N30" s="290"/>
      <c r="O30" s="290"/>
      <c r="P30" s="290"/>
      <c r="Q30" s="290"/>
      <c r="R30" s="290"/>
      <c r="S30" s="290"/>
      <c r="T30" s="290"/>
      <c r="U30" s="290"/>
      <c r="V30" s="290"/>
      <c r="W30" s="290"/>
      <c r="X30" s="290"/>
      <c r="Y30" s="290"/>
      <c r="Z30" s="290"/>
    </row>
    <row r="31" ht="12.75" customHeight="1">
      <c r="A31" s="290"/>
      <c r="B31" s="427"/>
      <c r="C31" s="290"/>
      <c r="D31" s="427"/>
      <c r="E31" s="290"/>
      <c r="F31" s="290"/>
      <c r="G31" s="290"/>
      <c r="H31" s="290"/>
      <c r="I31" s="290"/>
      <c r="J31" s="290"/>
      <c r="K31" s="290"/>
      <c r="L31" s="290"/>
      <c r="M31" s="290"/>
      <c r="N31" s="290"/>
      <c r="O31" s="290"/>
      <c r="P31" s="290"/>
      <c r="Q31" s="290"/>
      <c r="R31" s="290"/>
      <c r="S31" s="290"/>
      <c r="T31" s="290"/>
      <c r="U31" s="290"/>
      <c r="V31" s="290"/>
      <c r="W31" s="290"/>
      <c r="X31" s="290"/>
      <c r="Y31" s="290"/>
      <c r="Z31" s="290"/>
    </row>
    <row r="32" ht="12.75" customHeight="1">
      <c r="A32" s="290"/>
      <c r="B32" s="427"/>
      <c r="C32" s="290"/>
      <c r="D32" s="427"/>
      <c r="E32" s="290"/>
      <c r="F32" s="290"/>
      <c r="G32" s="290"/>
      <c r="H32" s="290"/>
      <c r="I32" s="290"/>
      <c r="J32" s="290"/>
      <c r="K32" s="290"/>
      <c r="L32" s="290"/>
      <c r="M32" s="290"/>
      <c r="N32" s="290"/>
      <c r="O32" s="290"/>
      <c r="P32" s="290"/>
      <c r="Q32" s="290"/>
      <c r="R32" s="290"/>
      <c r="S32" s="290"/>
      <c r="T32" s="290"/>
      <c r="U32" s="290"/>
      <c r="V32" s="290"/>
      <c r="W32" s="290"/>
      <c r="X32" s="290"/>
      <c r="Y32" s="290"/>
      <c r="Z32" s="290"/>
    </row>
    <row r="33" ht="12.75" customHeight="1">
      <c r="A33" s="290"/>
      <c r="B33" s="427"/>
      <c r="C33" s="290"/>
      <c r="D33" s="427"/>
      <c r="E33" s="290"/>
      <c r="F33" s="290"/>
      <c r="G33" s="290"/>
      <c r="H33" s="290"/>
      <c r="I33" s="290"/>
      <c r="J33" s="290"/>
      <c r="K33" s="290"/>
      <c r="L33" s="290"/>
      <c r="M33" s="290"/>
      <c r="N33" s="290"/>
      <c r="O33" s="290"/>
      <c r="P33" s="290"/>
      <c r="Q33" s="290"/>
      <c r="R33" s="290"/>
      <c r="S33" s="290"/>
      <c r="T33" s="290"/>
      <c r="U33" s="290"/>
      <c r="V33" s="290"/>
      <c r="W33" s="290"/>
      <c r="X33" s="290"/>
      <c r="Y33" s="290"/>
      <c r="Z33" s="290"/>
    </row>
    <row r="34" ht="12.75" customHeight="1">
      <c r="A34" s="290"/>
      <c r="B34" s="427"/>
      <c r="C34" s="290"/>
      <c r="D34" s="427"/>
      <c r="E34" s="290"/>
      <c r="F34" s="290"/>
      <c r="G34" s="290"/>
      <c r="H34" s="290"/>
      <c r="I34" s="290"/>
      <c r="J34" s="290"/>
      <c r="K34" s="290"/>
      <c r="L34" s="290"/>
      <c r="M34" s="290"/>
      <c r="N34" s="290"/>
      <c r="O34" s="290"/>
      <c r="P34" s="290"/>
      <c r="Q34" s="290"/>
      <c r="R34" s="290"/>
      <c r="S34" s="290"/>
      <c r="T34" s="290"/>
      <c r="U34" s="290"/>
      <c r="V34" s="290"/>
      <c r="W34" s="290"/>
      <c r="X34" s="290"/>
      <c r="Y34" s="290"/>
      <c r="Z34" s="290"/>
    </row>
    <row r="35" ht="12.75" customHeight="1">
      <c r="A35" s="290"/>
      <c r="B35" s="427"/>
      <c r="C35" s="290"/>
      <c r="D35" s="427"/>
      <c r="E35" s="290"/>
      <c r="F35" s="290"/>
      <c r="G35" s="290"/>
      <c r="H35" s="290"/>
      <c r="I35" s="290"/>
      <c r="J35" s="290"/>
      <c r="K35" s="290"/>
      <c r="L35" s="290"/>
      <c r="M35" s="290"/>
      <c r="N35" s="290"/>
      <c r="O35" s="290"/>
      <c r="P35" s="290"/>
      <c r="Q35" s="290"/>
      <c r="R35" s="290"/>
      <c r="S35" s="290"/>
      <c r="T35" s="290"/>
      <c r="U35" s="290"/>
      <c r="V35" s="290"/>
      <c r="W35" s="290"/>
      <c r="X35" s="290"/>
      <c r="Y35" s="290"/>
      <c r="Z35" s="290"/>
    </row>
    <row r="36" ht="12.75" customHeight="1">
      <c r="A36" s="290"/>
      <c r="B36" s="427"/>
      <c r="C36" s="290"/>
      <c r="D36" s="427"/>
      <c r="E36" s="290"/>
      <c r="F36" s="290"/>
      <c r="G36" s="290"/>
      <c r="H36" s="290"/>
      <c r="I36" s="290"/>
      <c r="J36" s="290"/>
      <c r="K36" s="290"/>
      <c r="L36" s="290"/>
      <c r="M36" s="290"/>
      <c r="N36" s="290"/>
      <c r="O36" s="290"/>
      <c r="P36" s="290"/>
      <c r="Q36" s="290"/>
      <c r="R36" s="290"/>
      <c r="S36" s="290"/>
      <c r="T36" s="290"/>
      <c r="U36" s="290"/>
      <c r="V36" s="290"/>
      <c r="W36" s="290"/>
      <c r="X36" s="290"/>
      <c r="Y36" s="290"/>
      <c r="Z36" s="290"/>
    </row>
    <row r="37" ht="12.75" customHeight="1">
      <c r="A37" s="290"/>
      <c r="B37" s="427"/>
      <c r="C37" s="290"/>
      <c r="D37" s="427"/>
      <c r="E37" s="290"/>
      <c r="F37" s="290"/>
      <c r="G37" s="290"/>
      <c r="H37" s="290"/>
      <c r="I37" s="290"/>
      <c r="J37" s="290"/>
      <c r="K37" s="290"/>
      <c r="L37" s="290"/>
      <c r="M37" s="290"/>
      <c r="N37" s="290"/>
      <c r="O37" s="290"/>
      <c r="P37" s="290"/>
      <c r="Q37" s="290"/>
      <c r="R37" s="290"/>
      <c r="S37" s="290"/>
      <c r="T37" s="290"/>
      <c r="U37" s="290"/>
      <c r="V37" s="290"/>
      <c r="W37" s="290"/>
      <c r="X37" s="290"/>
      <c r="Y37" s="290"/>
      <c r="Z37" s="290"/>
    </row>
    <row r="38" ht="12.75" customHeight="1">
      <c r="A38" s="290"/>
      <c r="B38" s="427"/>
      <c r="C38" s="290"/>
      <c r="D38" s="427"/>
      <c r="E38" s="290"/>
      <c r="F38" s="290"/>
      <c r="G38" s="290"/>
      <c r="H38" s="290"/>
      <c r="I38" s="290"/>
      <c r="J38" s="290"/>
      <c r="K38" s="290"/>
      <c r="L38" s="290"/>
      <c r="M38" s="290"/>
      <c r="N38" s="290"/>
      <c r="O38" s="290"/>
      <c r="P38" s="290"/>
      <c r="Q38" s="290"/>
      <c r="R38" s="290"/>
      <c r="S38" s="290"/>
      <c r="T38" s="290"/>
      <c r="U38" s="290"/>
      <c r="V38" s="290"/>
      <c r="W38" s="290"/>
      <c r="X38" s="290"/>
      <c r="Y38" s="290"/>
      <c r="Z38" s="290"/>
    </row>
    <row r="39" ht="12.75" customHeight="1">
      <c r="A39" s="290"/>
      <c r="B39" s="427"/>
      <c r="C39" s="290"/>
      <c r="D39" s="427"/>
      <c r="E39" s="290"/>
      <c r="F39" s="290"/>
      <c r="G39" s="290"/>
      <c r="H39" s="290"/>
      <c r="I39" s="290"/>
      <c r="J39" s="290"/>
      <c r="K39" s="290"/>
      <c r="L39" s="290"/>
      <c r="M39" s="290"/>
      <c r="N39" s="290"/>
      <c r="O39" s="290"/>
      <c r="P39" s="290"/>
      <c r="Q39" s="290"/>
      <c r="R39" s="290"/>
      <c r="S39" s="290"/>
      <c r="T39" s="290"/>
      <c r="U39" s="290"/>
      <c r="V39" s="290"/>
      <c r="W39" s="290"/>
      <c r="X39" s="290"/>
      <c r="Y39" s="290"/>
      <c r="Z39" s="290"/>
    </row>
    <row r="40" ht="12.75" customHeight="1">
      <c r="A40" s="290"/>
      <c r="B40" s="427"/>
      <c r="C40" s="290"/>
      <c r="D40" s="427"/>
      <c r="E40" s="290"/>
      <c r="F40" s="290"/>
      <c r="G40" s="290"/>
      <c r="H40" s="290"/>
      <c r="I40" s="290"/>
      <c r="J40" s="290"/>
      <c r="K40" s="290"/>
      <c r="L40" s="290"/>
      <c r="M40" s="290"/>
      <c r="N40" s="290"/>
      <c r="O40" s="290"/>
      <c r="P40" s="290"/>
      <c r="Q40" s="290"/>
      <c r="R40" s="290"/>
      <c r="S40" s="290"/>
      <c r="T40" s="290"/>
      <c r="U40" s="290"/>
      <c r="V40" s="290"/>
      <c r="W40" s="290"/>
      <c r="X40" s="290"/>
      <c r="Y40" s="290"/>
      <c r="Z40" s="290"/>
    </row>
    <row r="41" ht="12.75" customHeight="1">
      <c r="A41" s="290"/>
      <c r="B41" s="427"/>
      <c r="C41" s="290"/>
      <c r="D41" s="427"/>
      <c r="E41" s="290"/>
      <c r="F41" s="290"/>
      <c r="G41" s="290"/>
      <c r="H41" s="290"/>
      <c r="I41" s="290"/>
      <c r="J41" s="290"/>
      <c r="K41" s="290"/>
      <c r="L41" s="290"/>
      <c r="M41" s="290"/>
      <c r="N41" s="290"/>
      <c r="O41" s="290"/>
      <c r="P41" s="290"/>
      <c r="Q41" s="290"/>
      <c r="R41" s="290"/>
      <c r="S41" s="290"/>
      <c r="T41" s="290"/>
      <c r="U41" s="290"/>
      <c r="V41" s="290"/>
      <c r="W41" s="290"/>
      <c r="X41" s="290"/>
      <c r="Y41" s="290"/>
      <c r="Z41" s="290"/>
    </row>
    <row r="42" ht="12.75" customHeight="1">
      <c r="A42" s="290"/>
      <c r="B42" s="427"/>
      <c r="C42" s="290"/>
      <c r="D42" s="427"/>
      <c r="E42" s="290"/>
      <c r="F42" s="290"/>
      <c r="G42" s="290"/>
      <c r="H42" s="290"/>
      <c r="I42" s="290"/>
      <c r="J42" s="290"/>
      <c r="K42" s="290"/>
      <c r="L42" s="290"/>
      <c r="M42" s="290"/>
      <c r="N42" s="290"/>
      <c r="O42" s="290"/>
      <c r="P42" s="290"/>
      <c r="Q42" s="290"/>
      <c r="R42" s="290"/>
      <c r="S42" s="290"/>
      <c r="T42" s="290"/>
      <c r="U42" s="290"/>
      <c r="V42" s="290"/>
      <c r="W42" s="290"/>
      <c r="X42" s="290"/>
      <c r="Y42" s="290"/>
      <c r="Z42" s="290"/>
    </row>
    <row r="43" ht="12.75" customHeight="1">
      <c r="A43" s="290"/>
      <c r="B43" s="427"/>
      <c r="C43" s="290"/>
      <c r="D43" s="427"/>
      <c r="E43" s="290"/>
      <c r="F43" s="290"/>
      <c r="G43" s="290"/>
      <c r="H43" s="290"/>
      <c r="I43" s="290"/>
      <c r="J43" s="290"/>
      <c r="K43" s="290"/>
      <c r="L43" s="290"/>
      <c r="M43" s="290"/>
      <c r="N43" s="290"/>
      <c r="O43" s="290"/>
      <c r="P43" s="290"/>
      <c r="Q43" s="290"/>
      <c r="R43" s="290"/>
      <c r="S43" s="290"/>
      <c r="T43" s="290"/>
      <c r="U43" s="290"/>
      <c r="V43" s="290"/>
      <c r="W43" s="290"/>
      <c r="X43" s="290"/>
      <c r="Y43" s="290"/>
      <c r="Z43" s="290"/>
    </row>
    <row r="44" ht="12.75" customHeight="1">
      <c r="A44" s="290"/>
      <c r="B44" s="427"/>
      <c r="C44" s="290"/>
      <c r="D44" s="427"/>
      <c r="E44" s="290"/>
      <c r="F44" s="290"/>
      <c r="G44" s="290"/>
      <c r="H44" s="290"/>
      <c r="I44" s="290"/>
      <c r="J44" s="290"/>
      <c r="K44" s="290"/>
      <c r="L44" s="290"/>
      <c r="M44" s="290"/>
      <c r="N44" s="290"/>
      <c r="O44" s="290"/>
      <c r="P44" s="290"/>
      <c r="Q44" s="290"/>
      <c r="R44" s="290"/>
      <c r="S44" s="290"/>
      <c r="T44" s="290"/>
      <c r="U44" s="290"/>
      <c r="V44" s="290"/>
      <c r="W44" s="290"/>
      <c r="X44" s="290"/>
      <c r="Y44" s="290"/>
      <c r="Z44" s="290"/>
    </row>
    <row r="45" ht="12.75" customHeight="1">
      <c r="A45" s="290"/>
      <c r="B45" s="427"/>
      <c r="C45" s="290"/>
      <c r="D45" s="427"/>
      <c r="E45" s="290"/>
      <c r="F45" s="290"/>
      <c r="G45" s="290"/>
      <c r="H45" s="290"/>
      <c r="I45" s="290"/>
      <c r="J45" s="290"/>
      <c r="K45" s="290"/>
      <c r="L45" s="290"/>
      <c r="M45" s="290"/>
      <c r="N45" s="290"/>
      <c r="O45" s="290"/>
      <c r="P45" s="290"/>
      <c r="Q45" s="290"/>
      <c r="R45" s="290"/>
      <c r="S45" s="290"/>
      <c r="T45" s="290"/>
      <c r="U45" s="290"/>
      <c r="V45" s="290"/>
      <c r="W45" s="290"/>
      <c r="X45" s="290"/>
      <c r="Y45" s="290"/>
      <c r="Z45" s="290"/>
    </row>
    <row r="46" ht="12.75" customHeight="1">
      <c r="A46" s="290"/>
      <c r="B46" s="427"/>
      <c r="C46" s="290"/>
      <c r="D46" s="427"/>
      <c r="E46" s="290"/>
      <c r="F46" s="290"/>
      <c r="G46" s="290"/>
      <c r="H46" s="290"/>
      <c r="I46" s="290"/>
      <c r="J46" s="290"/>
      <c r="K46" s="290"/>
      <c r="L46" s="290"/>
      <c r="M46" s="290"/>
      <c r="N46" s="290"/>
      <c r="O46" s="290"/>
      <c r="P46" s="290"/>
      <c r="Q46" s="290"/>
      <c r="R46" s="290"/>
      <c r="S46" s="290"/>
      <c r="T46" s="290"/>
      <c r="U46" s="290"/>
      <c r="V46" s="290"/>
      <c r="W46" s="290"/>
      <c r="X46" s="290"/>
      <c r="Y46" s="290"/>
      <c r="Z46" s="290"/>
    </row>
    <row r="47" ht="12.75" customHeight="1">
      <c r="A47" s="290"/>
      <c r="B47" s="427"/>
      <c r="C47" s="290"/>
      <c r="D47" s="427"/>
      <c r="E47" s="290"/>
      <c r="F47" s="290"/>
      <c r="G47" s="290"/>
      <c r="H47" s="290"/>
      <c r="I47" s="290"/>
      <c r="J47" s="290"/>
      <c r="K47" s="290"/>
      <c r="L47" s="290"/>
      <c r="M47" s="290"/>
      <c r="N47" s="290"/>
      <c r="O47" s="290"/>
      <c r="P47" s="290"/>
      <c r="Q47" s="290"/>
      <c r="R47" s="290"/>
      <c r="S47" s="290"/>
      <c r="T47" s="290"/>
      <c r="U47" s="290"/>
      <c r="V47" s="290"/>
      <c r="W47" s="290"/>
      <c r="X47" s="290"/>
      <c r="Y47" s="290"/>
      <c r="Z47" s="290"/>
    </row>
    <row r="48" ht="12.75" customHeight="1">
      <c r="A48" s="290"/>
      <c r="B48" s="427"/>
      <c r="C48" s="290"/>
      <c r="D48" s="427"/>
      <c r="E48" s="290"/>
      <c r="F48" s="290"/>
      <c r="G48" s="290"/>
      <c r="H48" s="290"/>
      <c r="I48" s="290"/>
      <c r="J48" s="290"/>
      <c r="K48" s="290"/>
      <c r="L48" s="290"/>
      <c r="M48" s="290"/>
      <c r="N48" s="290"/>
      <c r="O48" s="290"/>
      <c r="P48" s="290"/>
      <c r="Q48" s="290"/>
      <c r="R48" s="290"/>
      <c r="S48" s="290"/>
      <c r="T48" s="290"/>
      <c r="U48" s="290"/>
      <c r="V48" s="290"/>
      <c r="W48" s="290"/>
      <c r="X48" s="290"/>
      <c r="Y48" s="290"/>
      <c r="Z48" s="290"/>
    </row>
    <row r="49" ht="12.75" customHeight="1">
      <c r="A49" s="290"/>
      <c r="B49" s="427"/>
      <c r="C49" s="290"/>
      <c r="D49" s="427"/>
      <c r="E49" s="290"/>
      <c r="F49" s="290"/>
      <c r="G49" s="290"/>
      <c r="H49" s="290"/>
      <c r="I49" s="290"/>
      <c r="J49" s="290"/>
      <c r="K49" s="290"/>
      <c r="L49" s="290"/>
      <c r="M49" s="290"/>
      <c r="N49" s="290"/>
      <c r="O49" s="290"/>
      <c r="P49" s="290"/>
      <c r="Q49" s="290"/>
      <c r="R49" s="290"/>
      <c r="S49" s="290"/>
      <c r="T49" s="290"/>
      <c r="U49" s="290"/>
      <c r="V49" s="290"/>
      <c r="W49" s="290"/>
      <c r="X49" s="290"/>
      <c r="Y49" s="290"/>
      <c r="Z49" s="290"/>
    </row>
    <row r="50" ht="12.75" customHeight="1">
      <c r="A50" s="290"/>
      <c r="B50" s="427"/>
      <c r="C50" s="290"/>
      <c r="D50" s="427"/>
      <c r="E50" s="290"/>
      <c r="F50" s="290"/>
      <c r="G50" s="290"/>
      <c r="H50" s="290"/>
      <c r="I50" s="290"/>
      <c r="J50" s="290"/>
      <c r="K50" s="290"/>
      <c r="L50" s="290"/>
      <c r="M50" s="290"/>
      <c r="N50" s="290"/>
      <c r="O50" s="290"/>
      <c r="P50" s="290"/>
      <c r="Q50" s="290"/>
      <c r="R50" s="290"/>
      <c r="S50" s="290"/>
      <c r="T50" s="290"/>
      <c r="U50" s="290"/>
      <c r="V50" s="290"/>
      <c r="W50" s="290"/>
      <c r="X50" s="290"/>
      <c r="Y50" s="290"/>
      <c r="Z50" s="290"/>
    </row>
    <row r="51" ht="12.75" customHeight="1">
      <c r="A51" s="290"/>
      <c r="B51" s="427"/>
      <c r="C51" s="290"/>
      <c r="D51" s="427"/>
      <c r="E51" s="290"/>
      <c r="F51" s="290"/>
      <c r="G51" s="290"/>
      <c r="H51" s="290"/>
      <c r="I51" s="290"/>
      <c r="J51" s="290"/>
      <c r="K51" s="290"/>
      <c r="L51" s="290"/>
      <c r="M51" s="290"/>
      <c r="N51" s="290"/>
      <c r="O51" s="290"/>
      <c r="P51" s="290"/>
      <c r="Q51" s="290"/>
      <c r="R51" s="290"/>
      <c r="S51" s="290"/>
      <c r="T51" s="290"/>
      <c r="U51" s="290"/>
      <c r="V51" s="290"/>
      <c r="W51" s="290"/>
      <c r="X51" s="290"/>
      <c r="Y51" s="290"/>
      <c r="Z51" s="290"/>
    </row>
    <row r="52" ht="12.75" customHeight="1">
      <c r="A52" s="290"/>
      <c r="B52" s="427"/>
      <c r="C52" s="290"/>
      <c r="D52" s="427"/>
      <c r="E52" s="290"/>
      <c r="F52" s="290"/>
      <c r="G52" s="290"/>
      <c r="H52" s="290"/>
      <c r="I52" s="290"/>
      <c r="J52" s="290"/>
      <c r="K52" s="290"/>
      <c r="L52" s="290"/>
      <c r="M52" s="290"/>
      <c r="N52" s="290"/>
      <c r="O52" s="290"/>
      <c r="P52" s="290"/>
      <c r="Q52" s="290"/>
      <c r="R52" s="290"/>
      <c r="S52" s="290"/>
      <c r="T52" s="290"/>
      <c r="U52" s="290"/>
      <c r="V52" s="290"/>
      <c r="W52" s="290"/>
      <c r="X52" s="290"/>
      <c r="Y52" s="290"/>
      <c r="Z52" s="290"/>
    </row>
    <row r="53" ht="12.75" customHeight="1">
      <c r="A53" s="290"/>
      <c r="B53" s="427"/>
      <c r="C53" s="290"/>
      <c r="D53" s="427"/>
      <c r="E53" s="290"/>
      <c r="F53" s="290"/>
      <c r="G53" s="290"/>
      <c r="H53" s="290"/>
      <c r="I53" s="290"/>
      <c r="J53" s="290"/>
      <c r="K53" s="290"/>
      <c r="L53" s="290"/>
      <c r="M53" s="290"/>
      <c r="N53" s="290"/>
      <c r="O53" s="290"/>
      <c r="P53" s="290"/>
      <c r="Q53" s="290"/>
      <c r="R53" s="290"/>
      <c r="S53" s="290"/>
      <c r="T53" s="290"/>
      <c r="U53" s="290"/>
      <c r="V53" s="290"/>
      <c r="W53" s="290"/>
      <c r="X53" s="290"/>
      <c r="Y53" s="290"/>
      <c r="Z53" s="290"/>
    </row>
    <row r="54" ht="12.75" customHeight="1">
      <c r="A54" s="290"/>
      <c r="B54" s="427"/>
      <c r="C54" s="290"/>
      <c r="D54" s="427"/>
      <c r="E54" s="290"/>
      <c r="F54" s="290"/>
      <c r="G54" s="290"/>
      <c r="H54" s="290"/>
      <c r="I54" s="290"/>
      <c r="J54" s="290"/>
      <c r="K54" s="290"/>
      <c r="L54" s="290"/>
      <c r="M54" s="290"/>
      <c r="N54" s="290"/>
      <c r="O54" s="290"/>
      <c r="P54" s="290"/>
      <c r="Q54" s="290"/>
      <c r="R54" s="290"/>
      <c r="S54" s="290"/>
      <c r="T54" s="290"/>
      <c r="U54" s="290"/>
      <c r="V54" s="290"/>
      <c r="W54" s="290"/>
      <c r="X54" s="290"/>
      <c r="Y54" s="290"/>
      <c r="Z54" s="290"/>
    </row>
    <row r="55" ht="12.75" customHeight="1">
      <c r="A55" s="290"/>
      <c r="B55" s="427"/>
      <c r="C55" s="290"/>
      <c r="D55" s="427"/>
      <c r="E55" s="290"/>
      <c r="F55" s="290"/>
      <c r="G55" s="290"/>
      <c r="H55" s="290"/>
      <c r="I55" s="290"/>
      <c r="J55" s="290"/>
      <c r="K55" s="290"/>
      <c r="L55" s="290"/>
      <c r="M55" s="290"/>
      <c r="N55" s="290"/>
      <c r="O55" s="290"/>
      <c r="P55" s="290"/>
      <c r="Q55" s="290"/>
      <c r="R55" s="290"/>
      <c r="S55" s="290"/>
      <c r="T55" s="290"/>
      <c r="U55" s="290"/>
      <c r="V55" s="290"/>
      <c r="W55" s="290"/>
      <c r="X55" s="290"/>
      <c r="Y55" s="290"/>
      <c r="Z55" s="290"/>
    </row>
    <row r="56" ht="12.75" customHeight="1">
      <c r="A56" s="290"/>
      <c r="B56" s="427"/>
      <c r="C56" s="290"/>
      <c r="D56" s="427"/>
      <c r="E56" s="290"/>
      <c r="F56" s="290"/>
      <c r="G56" s="290"/>
      <c r="H56" s="290"/>
      <c r="I56" s="290"/>
      <c r="J56" s="290"/>
      <c r="K56" s="290"/>
      <c r="L56" s="290"/>
      <c r="M56" s="290"/>
      <c r="N56" s="290"/>
      <c r="O56" s="290"/>
      <c r="P56" s="290"/>
      <c r="Q56" s="290"/>
      <c r="R56" s="290"/>
      <c r="S56" s="290"/>
      <c r="T56" s="290"/>
      <c r="U56" s="290"/>
      <c r="V56" s="290"/>
      <c r="W56" s="290"/>
      <c r="X56" s="290"/>
      <c r="Y56" s="290"/>
      <c r="Z56" s="290"/>
    </row>
    <row r="57" ht="12.75" customHeight="1">
      <c r="A57" s="290"/>
      <c r="B57" s="427"/>
      <c r="C57" s="290"/>
      <c r="D57" s="427"/>
      <c r="E57" s="290"/>
      <c r="F57" s="290"/>
      <c r="G57" s="290"/>
      <c r="H57" s="290"/>
      <c r="I57" s="290"/>
      <c r="J57" s="290"/>
      <c r="K57" s="290"/>
      <c r="L57" s="290"/>
      <c r="M57" s="290"/>
      <c r="N57" s="290"/>
      <c r="O57" s="290"/>
      <c r="P57" s="290"/>
      <c r="Q57" s="290"/>
      <c r="R57" s="290"/>
      <c r="S57" s="290"/>
      <c r="T57" s="290"/>
      <c r="U57" s="290"/>
      <c r="V57" s="290"/>
      <c r="W57" s="290"/>
      <c r="X57" s="290"/>
      <c r="Y57" s="290"/>
      <c r="Z57" s="290"/>
    </row>
    <row r="58" ht="12.75" customHeight="1">
      <c r="A58" s="290"/>
      <c r="B58" s="427"/>
      <c r="C58" s="290"/>
      <c r="D58" s="427"/>
      <c r="E58" s="290"/>
      <c r="F58" s="290"/>
      <c r="G58" s="290"/>
      <c r="H58" s="290"/>
      <c r="I58" s="290"/>
      <c r="J58" s="290"/>
      <c r="K58" s="290"/>
      <c r="L58" s="290"/>
      <c r="M58" s="290"/>
      <c r="N58" s="290"/>
      <c r="O58" s="290"/>
      <c r="P58" s="290"/>
      <c r="Q58" s="290"/>
      <c r="R58" s="290"/>
      <c r="S58" s="290"/>
      <c r="T58" s="290"/>
      <c r="U58" s="290"/>
      <c r="V58" s="290"/>
      <c r="W58" s="290"/>
      <c r="X58" s="290"/>
      <c r="Y58" s="290"/>
      <c r="Z58" s="290"/>
    </row>
    <row r="59" ht="12.75" customHeight="1">
      <c r="A59" s="290"/>
      <c r="B59" s="427"/>
      <c r="C59" s="290"/>
      <c r="D59" s="427"/>
      <c r="E59" s="290"/>
      <c r="F59" s="290"/>
      <c r="G59" s="290"/>
      <c r="H59" s="290"/>
      <c r="I59" s="290"/>
      <c r="J59" s="290"/>
      <c r="K59" s="290"/>
      <c r="L59" s="290"/>
      <c r="M59" s="290"/>
      <c r="N59" s="290"/>
      <c r="O59" s="290"/>
      <c r="P59" s="290"/>
      <c r="Q59" s="290"/>
      <c r="R59" s="290"/>
      <c r="S59" s="290"/>
      <c r="T59" s="290"/>
      <c r="U59" s="290"/>
      <c r="V59" s="290"/>
      <c r="W59" s="290"/>
      <c r="X59" s="290"/>
      <c r="Y59" s="290"/>
      <c r="Z59" s="290"/>
    </row>
    <row r="60" ht="12.75" customHeight="1">
      <c r="A60" s="290"/>
      <c r="B60" s="427"/>
      <c r="C60" s="290"/>
      <c r="D60" s="427"/>
      <c r="E60" s="290"/>
      <c r="F60" s="290"/>
      <c r="G60" s="290"/>
      <c r="H60" s="290"/>
      <c r="I60" s="290"/>
      <c r="J60" s="290"/>
      <c r="K60" s="290"/>
      <c r="L60" s="290"/>
      <c r="M60" s="290"/>
      <c r="N60" s="290"/>
      <c r="O60" s="290"/>
      <c r="P60" s="290"/>
      <c r="Q60" s="290"/>
      <c r="R60" s="290"/>
      <c r="S60" s="290"/>
      <c r="T60" s="290"/>
      <c r="U60" s="290"/>
      <c r="V60" s="290"/>
      <c r="W60" s="290"/>
      <c r="X60" s="290"/>
      <c r="Y60" s="290"/>
      <c r="Z60" s="290"/>
    </row>
    <row r="61" ht="12.75" customHeight="1">
      <c r="A61" s="290"/>
      <c r="B61" s="427"/>
      <c r="C61" s="290"/>
      <c r="D61" s="427"/>
      <c r="E61" s="290"/>
      <c r="F61" s="290"/>
      <c r="G61" s="290"/>
      <c r="H61" s="290"/>
      <c r="I61" s="290"/>
      <c r="J61" s="290"/>
      <c r="K61" s="290"/>
      <c r="L61" s="290"/>
      <c r="M61" s="290"/>
      <c r="N61" s="290"/>
      <c r="O61" s="290"/>
      <c r="P61" s="290"/>
      <c r="Q61" s="290"/>
      <c r="R61" s="290"/>
      <c r="S61" s="290"/>
      <c r="T61" s="290"/>
      <c r="U61" s="290"/>
      <c r="V61" s="290"/>
      <c r="W61" s="290"/>
      <c r="X61" s="290"/>
      <c r="Y61" s="290"/>
      <c r="Z61" s="290"/>
    </row>
    <row r="62" ht="12.75" customHeight="1">
      <c r="A62" s="290"/>
      <c r="B62" s="427"/>
      <c r="C62" s="290"/>
      <c r="D62" s="427"/>
      <c r="E62" s="290"/>
      <c r="F62" s="290"/>
      <c r="G62" s="290"/>
      <c r="H62" s="290"/>
      <c r="I62" s="290"/>
      <c r="J62" s="290"/>
      <c r="K62" s="290"/>
      <c r="L62" s="290"/>
      <c r="M62" s="290"/>
      <c r="N62" s="290"/>
      <c r="O62" s="290"/>
      <c r="P62" s="290"/>
      <c r="Q62" s="290"/>
      <c r="R62" s="290"/>
      <c r="S62" s="290"/>
      <c r="T62" s="290"/>
      <c r="U62" s="290"/>
      <c r="V62" s="290"/>
      <c r="W62" s="290"/>
      <c r="X62" s="290"/>
      <c r="Y62" s="290"/>
      <c r="Z62" s="290"/>
    </row>
    <row r="63" ht="12.75" customHeight="1">
      <c r="A63" s="290"/>
      <c r="B63" s="427"/>
      <c r="C63" s="290"/>
      <c r="D63" s="427"/>
      <c r="E63" s="290"/>
      <c r="F63" s="290"/>
      <c r="G63" s="290"/>
      <c r="H63" s="290"/>
      <c r="I63" s="290"/>
      <c r="J63" s="290"/>
      <c r="K63" s="290"/>
      <c r="L63" s="290"/>
      <c r="M63" s="290"/>
      <c r="N63" s="290"/>
      <c r="O63" s="290"/>
      <c r="P63" s="290"/>
      <c r="Q63" s="290"/>
      <c r="R63" s="290"/>
      <c r="S63" s="290"/>
      <c r="T63" s="290"/>
      <c r="U63" s="290"/>
      <c r="V63" s="290"/>
      <c r="W63" s="290"/>
      <c r="X63" s="290"/>
      <c r="Y63" s="290"/>
      <c r="Z63" s="290"/>
    </row>
    <row r="64" ht="12.75" customHeight="1">
      <c r="A64" s="290"/>
      <c r="B64" s="427"/>
      <c r="C64" s="290"/>
      <c r="D64" s="427"/>
      <c r="E64" s="290"/>
      <c r="F64" s="290"/>
      <c r="G64" s="290"/>
      <c r="H64" s="290"/>
      <c r="I64" s="290"/>
      <c r="J64" s="290"/>
      <c r="K64" s="290"/>
      <c r="L64" s="290"/>
      <c r="M64" s="290"/>
      <c r="N64" s="290"/>
      <c r="O64" s="290"/>
      <c r="P64" s="290"/>
      <c r="Q64" s="290"/>
      <c r="R64" s="290"/>
      <c r="S64" s="290"/>
      <c r="T64" s="290"/>
      <c r="U64" s="290"/>
      <c r="V64" s="290"/>
      <c r="W64" s="290"/>
      <c r="X64" s="290"/>
      <c r="Y64" s="290"/>
      <c r="Z64" s="290"/>
    </row>
    <row r="65" ht="12.75" customHeight="1">
      <c r="A65" s="290"/>
      <c r="B65" s="427"/>
      <c r="C65" s="290"/>
      <c r="D65" s="427"/>
      <c r="E65" s="290"/>
      <c r="F65" s="290"/>
      <c r="G65" s="290"/>
      <c r="H65" s="290"/>
      <c r="I65" s="290"/>
      <c r="J65" s="290"/>
      <c r="K65" s="290"/>
      <c r="L65" s="290"/>
      <c r="M65" s="290"/>
      <c r="N65" s="290"/>
      <c r="O65" s="290"/>
      <c r="P65" s="290"/>
      <c r="Q65" s="290"/>
      <c r="R65" s="290"/>
      <c r="S65" s="290"/>
      <c r="T65" s="290"/>
      <c r="U65" s="290"/>
      <c r="V65" s="290"/>
      <c r="W65" s="290"/>
      <c r="X65" s="290"/>
      <c r="Y65" s="290"/>
      <c r="Z65" s="290"/>
    </row>
    <row r="66" ht="12.75" customHeight="1">
      <c r="A66" s="290"/>
      <c r="B66" s="427"/>
      <c r="C66" s="290"/>
      <c r="D66" s="427"/>
      <c r="E66" s="290"/>
      <c r="F66" s="290"/>
      <c r="G66" s="290"/>
      <c r="H66" s="290"/>
      <c r="I66" s="290"/>
      <c r="J66" s="290"/>
      <c r="K66" s="290"/>
      <c r="L66" s="290"/>
      <c r="M66" s="290"/>
      <c r="N66" s="290"/>
      <c r="O66" s="290"/>
      <c r="P66" s="290"/>
      <c r="Q66" s="290"/>
      <c r="R66" s="290"/>
      <c r="S66" s="290"/>
      <c r="T66" s="290"/>
      <c r="U66" s="290"/>
      <c r="V66" s="290"/>
      <c r="W66" s="290"/>
      <c r="X66" s="290"/>
      <c r="Y66" s="290"/>
      <c r="Z66" s="290"/>
    </row>
    <row r="67" ht="12.75" customHeight="1">
      <c r="A67" s="290"/>
      <c r="B67" s="427"/>
      <c r="C67" s="290"/>
      <c r="D67" s="427"/>
      <c r="E67" s="290"/>
      <c r="F67" s="290"/>
      <c r="G67" s="290"/>
      <c r="H67" s="290"/>
      <c r="I67" s="290"/>
      <c r="J67" s="290"/>
      <c r="K67" s="290"/>
      <c r="L67" s="290"/>
      <c r="M67" s="290"/>
      <c r="N67" s="290"/>
      <c r="O67" s="290"/>
      <c r="P67" s="290"/>
      <c r="Q67" s="290"/>
      <c r="R67" s="290"/>
      <c r="S67" s="290"/>
      <c r="T67" s="290"/>
      <c r="U67" s="290"/>
      <c r="V67" s="290"/>
      <c r="W67" s="290"/>
      <c r="X67" s="290"/>
      <c r="Y67" s="290"/>
      <c r="Z67" s="290"/>
    </row>
    <row r="68" ht="12.75" customHeight="1">
      <c r="A68" s="290"/>
      <c r="B68" s="427"/>
      <c r="C68" s="290"/>
      <c r="D68" s="427"/>
      <c r="E68" s="290"/>
      <c r="F68" s="290"/>
      <c r="G68" s="290"/>
      <c r="H68" s="290"/>
      <c r="I68" s="290"/>
      <c r="J68" s="290"/>
      <c r="K68" s="290"/>
      <c r="L68" s="290"/>
      <c r="M68" s="290"/>
      <c r="N68" s="290"/>
      <c r="O68" s="290"/>
      <c r="P68" s="290"/>
      <c r="Q68" s="290"/>
      <c r="R68" s="290"/>
      <c r="S68" s="290"/>
      <c r="T68" s="290"/>
      <c r="U68" s="290"/>
      <c r="V68" s="290"/>
      <c r="W68" s="290"/>
      <c r="X68" s="290"/>
      <c r="Y68" s="290"/>
      <c r="Z68" s="290"/>
    </row>
    <row r="69" ht="12.75" customHeight="1">
      <c r="A69" s="290"/>
      <c r="B69" s="427"/>
      <c r="C69" s="290"/>
      <c r="D69" s="427"/>
      <c r="E69" s="290"/>
      <c r="F69" s="290"/>
      <c r="G69" s="290"/>
      <c r="H69" s="290"/>
      <c r="I69" s="290"/>
      <c r="J69" s="290"/>
      <c r="K69" s="290"/>
      <c r="L69" s="290"/>
      <c r="M69" s="290"/>
      <c r="N69" s="290"/>
      <c r="O69" s="290"/>
      <c r="P69" s="290"/>
      <c r="Q69" s="290"/>
      <c r="R69" s="290"/>
      <c r="S69" s="290"/>
      <c r="T69" s="290"/>
      <c r="U69" s="290"/>
      <c r="V69" s="290"/>
      <c r="W69" s="290"/>
      <c r="X69" s="290"/>
      <c r="Y69" s="290"/>
      <c r="Z69" s="290"/>
    </row>
    <row r="70" ht="12.75" customHeight="1">
      <c r="A70" s="290"/>
      <c r="B70" s="427"/>
      <c r="C70" s="290"/>
      <c r="D70" s="427"/>
      <c r="E70" s="290"/>
      <c r="F70" s="290"/>
      <c r="G70" s="290"/>
      <c r="H70" s="290"/>
      <c r="I70" s="290"/>
      <c r="J70" s="290"/>
      <c r="K70" s="290"/>
      <c r="L70" s="290"/>
      <c r="M70" s="290"/>
      <c r="N70" s="290"/>
      <c r="O70" s="290"/>
      <c r="P70" s="290"/>
      <c r="Q70" s="290"/>
      <c r="R70" s="290"/>
      <c r="S70" s="290"/>
      <c r="T70" s="290"/>
      <c r="U70" s="290"/>
      <c r="V70" s="290"/>
      <c r="W70" s="290"/>
      <c r="X70" s="290"/>
      <c r="Y70" s="290"/>
      <c r="Z70" s="290"/>
    </row>
    <row r="71" ht="12.75" customHeight="1">
      <c r="A71" s="290"/>
      <c r="B71" s="427"/>
      <c r="C71" s="290"/>
      <c r="D71" s="427"/>
      <c r="E71" s="290"/>
      <c r="F71" s="290"/>
      <c r="G71" s="290"/>
      <c r="H71" s="290"/>
      <c r="I71" s="290"/>
      <c r="J71" s="290"/>
      <c r="K71" s="290"/>
      <c r="L71" s="290"/>
      <c r="M71" s="290"/>
      <c r="N71" s="290"/>
      <c r="O71" s="290"/>
      <c r="P71" s="290"/>
      <c r="Q71" s="290"/>
      <c r="R71" s="290"/>
      <c r="S71" s="290"/>
      <c r="T71" s="290"/>
      <c r="U71" s="290"/>
      <c r="V71" s="290"/>
      <c r="W71" s="290"/>
      <c r="X71" s="290"/>
      <c r="Y71" s="290"/>
      <c r="Z71" s="290"/>
    </row>
    <row r="72" ht="12.75" customHeight="1">
      <c r="A72" s="290"/>
      <c r="B72" s="427"/>
      <c r="C72" s="290"/>
      <c r="D72" s="427"/>
      <c r="E72" s="290"/>
      <c r="F72" s="290"/>
      <c r="G72" s="290"/>
      <c r="H72" s="290"/>
      <c r="I72" s="290"/>
      <c r="J72" s="290"/>
      <c r="K72" s="290"/>
      <c r="L72" s="290"/>
      <c r="M72" s="290"/>
      <c r="N72" s="290"/>
      <c r="O72" s="290"/>
      <c r="P72" s="290"/>
      <c r="Q72" s="290"/>
      <c r="R72" s="290"/>
      <c r="S72" s="290"/>
      <c r="T72" s="290"/>
      <c r="U72" s="290"/>
      <c r="V72" s="290"/>
      <c r="W72" s="290"/>
      <c r="X72" s="290"/>
      <c r="Y72" s="290"/>
      <c r="Z72" s="290"/>
    </row>
    <row r="73" ht="12.75" customHeight="1">
      <c r="A73" s="290"/>
      <c r="B73" s="427"/>
      <c r="C73" s="290"/>
      <c r="D73" s="427"/>
      <c r="E73" s="290"/>
      <c r="F73" s="290"/>
      <c r="G73" s="290"/>
      <c r="H73" s="290"/>
      <c r="I73" s="290"/>
      <c r="J73" s="290"/>
      <c r="K73" s="290"/>
      <c r="L73" s="290"/>
      <c r="M73" s="290"/>
      <c r="N73" s="290"/>
      <c r="O73" s="290"/>
      <c r="P73" s="290"/>
      <c r="Q73" s="290"/>
      <c r="R73" s="290"/>
      <c r="S73" s="290"/>
      <c r="T73" s="290"/>
      <c r="U73" s="290"/>
      <c r="V73" s="290"/>
      <c r="W73" s="290"/>
      <c r="X73" s="290"/>
      <c r="Y73" s="290"/>
      <c r="Z73" s="290"/>
    </row>
    <row r="74" ht="12.75" customHeight="1">
      <c r="A74" s="290"/>
      <c r="B74" s="427"/>
      <c r="C74" s="290"/>
      <c r="D74" s="427"/>
      <c r="E74" s="290"/>
      <c r="F74" s="290"/>
      <c r="G74" s="290"/>
      <c r="H74" s="290"/>
      <c r="I74" s="290"/>
      <c r="J74" s="290"/>
      <c r="K74" s="290"/>
      <c r="L74" s="290"/>
      <c r="M74" s="290"/>
      <c r="N74" s="290"/>
      <c r="O74" s="290"/>
      <c r="P74" s="290"/>
      <c r="Q74" s="290"/>
      <c r="R74" s="290"/>
      <c r="S74" s="290"/>
      <c r="T74" s="290"/>
      <c r="U74" s="290"/>
      <c r="V74" s="290"/>
      <c r="W74" s="290"/>
      <c r="X74" s="290"/>
      <c r="Y74" s="290"/>
      <c r="Z74" s="290"/>
    </row>
    <row r="75" ht="12.75" customHeight="1">
      <c r="A75" s="290"/>
      <c r="B75" s="427"/>
      <c r="C75" s="290"/>
      <c r="D75" s="427"/>
      <c r="E75" s="290"/>
      <c r="F75" s="290"/>
      <c r="G75" s="290"/>
      <c r="H75" s="290"/>
      <c r="I75" s="290"/>
      <c r="J75" s="290"/>
      <c r="K75" s="290"/>
      <c r="L75" s="290"/>
      <c r="M75" s="290"/>
      <c r="N75" s="290"/>
      <c r="O75" s="290"/>
      <c r="P75" s="290"/>
      <c r="Q75" s="290"/>
      <c r="R75" s="290"/>
      <c r="S75" s="290"/>
      <c r="T75" s="290"/>
      <c r="U75" s="290"/>
      <c r="V75" s="290"/>
      <c r="W75" s="290"/>
      <c r="X75" s="290"/>
      <c r="Y75" s="290"/>
      <c r="Z75" s="290"/>
    </row>
    <row r="76" ht="12.75" customHeight="1">
      <c r="A76" s="290"/>
      <c r="B76" s="427"/>
      <c r="C76" s="290"/>
      <c r="D76" s="427"/>
      <c r="E76" s="290"/>
      <c r="F76" s="290"/>
      <c r="G76" s="290"/>
      <c r="H76" s="290"/>
      <c r="I76" s="290"/>
      <c r="J76" s="290"/>
      <c r="K76" s="290"/>
      <c r="L76" s="290"/>
      <c r="M76" s="290"/>
      <c r="N76" s="290"/>
      <c r="O76" s="290"/>
      <c r="P76" s="290"/>
      <c r="Q76" s="290"/>
      <c r="R76" s="290"/>
      <c r="S76" s="290"/>
      <c r="T76" s="290"/>
      <c r="U76" s="290"/>
      <c r="V76" s="290"/>
      <c r="W76" s="290"/>
      <c r="X76" s="290"/>
      <c r="Y76" s="290"/>
      <c r="Z76" s="290"/>
    </row>
    <row r="77" ht="12.75" customHeight="1">
      <c r="A77" s="290"/>
      <c r="B77" s="427"/>
      <c r="C77" s="290"/>
      <c r="D77" s="427"/>
      <c r="E77" s="290"/>
      <c r="F77" s="290"/>
      <c r="G77" s="290"/>
      <c r="H77" s="290"/>
      <c r="I77" s="290"/>
      <c r="J77" s="290"/>
      <c r="K77" s="290"/>
      <c r="L77" s="290"/>
      <c r="M77" s="290"/>
      <c r="N77" s="290"/>
      <c r="O77" s="290"/>
      <c r="P77" s="290"/>
      <c r="Q77" s="290"/>
      <c r="R77" s="290"/>
      <c r="S77" s="290"/>
      <c r="T77" s="290"/>
      <c r="U77" s="290"/>
      <c r="V77" s="290"/>
      <c r="W77" s="290"/>
      <c r="X77" s="290"/>
      <c r="Y77" s="290"/>
      <c r="Z77" s="290"/>
    </row>
    <row r="78" ht="12.75" customHeight="1">
      <c r="A78" s="290"/>
      <c r="B78" s="427"/>
      <c r="C78" s="290"/>
      <c r="D78" s="427"/>
      <c r="E78" s="290"/>
      <c r="F78" s="290"/>
      <c r="G78" s="290"/>
      <c r="H78" s="290"/>
      <c r="I78" s="290"/>
      <c r="J78" s="290"/>
      <c r="K78" s="290"/>
      <c r="L78" s="290"/>
      <c r="M78" s="290"/>
      <c r="N78" s="290"/>
      <c r="O78" s="290"/>
      <c r="P78" s="290"/>
      <c r="Q78" s="290"/>
      <c r="R78" s="290"/>
      <c r="S78" s="290"/>
      <c r="T78" s="290"/>
      <c r="U78" s="290"/>
      <c r="V78" s="290"/>
      <c r="W78" s="290"/>
      <c r="X78" s="290"/>
      <c r="Y78" s="290"/>
      <c r="Z78" s="290"/>
    </row>
    <row r="79" ht="12.75" customHeight="1">
      <c r="A79" s="290"/>
      <c r="B79" s="427"/>
      <c r="C79" s="290"/>
      <c r="D79" s="427"/>
      <c r="E79" s="290"/>
      <c r="F79" s="290"/>
      <c r="G79" s="290"/>
      <c r="H79" s="290"/>
      <c r="I79" s="290"/>
      <c r="J79" s="290"/>
      <c r="K79" s="290"/>
      <c r="L79" s="290"/>
      <c r="M79" s="290"/>
      <c r="N79" s="290"/>
      <c r="O79" s="290"/>
      <c r="P79" s="290"/>
      <c r="Q79" s="290"/>
      <c r="R79" s="290"/>
      <c r="S79" s="290"/>
      <c r="T79" s="290"/>
      <c r="U79" s="290"/>
      <c r="V79" s="290"/>
      <c r="W79" s="290"/>
      <c r="X79" s="290"/>
      <c r="Y79" s="290"/>
      <c r="Z79" s="290"/>
    </row>
    <row r="80" ht="12.75" customHeight="1">
      <c r="A80" s="290"/>
      <c r="B80" s="427"/>
      <c r="C80" s="290"/>
      <c r="D80" s="427"/>
      <c r="E80" s="290"/>
      <c r="F80" s="290"/>
      <c r="G80" s="290"/>
      <c r="H80" s="290"/>
      <c r="I80" s="290"/>
      <c r="J80" s="290"/>
      <c r="K80" s="290"/>
      <c r="L80" s="290"/>
      <c r="M80" s="290"/>
      <c r="N80" s="290"/>
      <c r="O80" s="290"/>
      <c r="P80" s="290"/>
      <c r="Q80" s="290"/>
      <c r="R80" s="290"/>
      <c r="S80" s="290"/>
      <c r="T80" s="290"/>
      <c r="U80" s="290"/>
      <c r="V80" s="290"/>
      <c r="W80" s="290"/>
      <c r="X80" s="290"/>
      <c r="Y80" s="290"/>
      <c r="Z80" s="290"/>
    </row>
    <row r="81" ht="12.75" customHeight="1">
      <c r="A81" s="290"/>
      <c r="B81" s="427"/>
      <c r="C81" s="290"/>
      <c r="D81" s="427"/>
      <c r="E81" s="290"/>
      <c r="F81" s="290"/>
      <c r="G81" s="290"/>
      <c r="H81" s="290"/>
      <c r="I81" s="290"/>
      <c r="J81" s="290"/>
      <c r="K81" s="290"/>
      <c r="L81" s="290"/>
      <c r="M81" s="290"/>
      <c r="N81" s="290"/>
      <c r="O81" s="290"/>
      <c r="P81" s="290"/>
      <c r="Q81" s="290"/>
      <c r="R81" s="290"/>
      <c r="S81" s="290"/>
      <c r="T81" s="290"/>
      <c r="U81" s="290"/>
      <c r="V81" s="290"/>
      <c r="W81" s="290"/>
      <c r="X81" s="290"/>
      <c r="Y81" s="290"/>
      <c r="Z81" s="290"/>
    </row>
    <row r="82" ht="12.75" customHeight="1">
      <c r="A82" s="290"/>
      <c r="B82" s="427"/>
      <c r="C82" s="290"/>
      <c r="D82" s="427"/>
      <c r="E82" s="290"/>
      <c r="F82" s="290"/>
      <c r="G82" s="290"/>
      <c r="H82" s="290"/>
      <c r="I82" s="290"/>
      <c r="J82" s="290"/>
      <c r="K82" s="290"/>
      <c r="L82" s="290"/>
      <c r="M82" s="290"/>
      <c r="N82" s="290"/>
      <c r="O82" s="290"/>
      <c r="P82" s="290"/>
      <c r="Q82" s="290"/>
      <c r="R82" s="290"/>
      <c r="S82" s="290"/>
      <c r="T82" s="290"/>
      <c r="U82" s="290"/>
      <c r="V82" s="290"/>
      <c r="W82" s="290"/>
      <c r="X82" s="290"/>
      <c r="Y82" s="290"/>
      <c r="Z82" s="290"/>
    </row>
    <row r="83" ht="12.75" customHeight="1">
      <c r="A83" s="290"/>
      <c r="B83" s="427"/>
      <c r="C83" s="290"/>
      <c r="D83" s="427"/>
      <c r="E83" s="290"/>
      <c r="F83" s="290"/>
      <c r="G83" s="290"/>
      <c r="H83" s="290"/>
      <c r="I83" s="290"/>
      <c r="J83" s="290"/>
      <c r="K83" s="290"/>
      <c r="L83" s="290"/>
      <c r="M83" s="290"/>
      <c r="N83" s="290"/>
      <c r="O83" s="290"/>
      <c r="P83" s="290"/>
      <c r="Q83" s="290"/>
      <c r="R83" s="290"/>
      <c r="S83" s="290"/>
      <c r="T83" s="290"/>
      <c r="U83" s="290"/>
      <c r="V83" s="290"/>
      <c r="W83" s="290"/>
      <c r="X83" s="290"/>
      <c r="Y83" s="290"/>
      <c r="Z83" s="290"/>
    </row>
    <row r="84" ht="12.75" customHeight="1">
      <c r="A84" s="290"/>
      <c r="B84" s="427"/>
      <c r="C84" s="290"/>
      <c r="D84" s="427"/>
      <c r="E84" s="290"/>
      <c r="F84" s="290"/>
      <c r="G84" s="290"/>
      <c r="H84" s="290"/>
      <c r="I84" s="290"/>
      <c r="J84" s="290"/>
      <c r="K84" s="290"/>
      <c r="L84" s="290"/>
      <c r="M84" s="290"/>
      <c r="N84" s="290"/>
      <c r="O84" s="290"/>
      <c r="P84" s="290"/>
      <c r="Q84" s="290"/>
      <c r="R84" s="290"/>
      <c r="S84" s="290"/>
      <c r="T84" s="290"/>
      <c r="U84" s="290"/>
      <c r="V84" s="290"/>
      <c r="W84" s="290"/>
      <c r="X84" s="290"/>
      <c r="Y84" s="290"/>
      <c r="Z84" s="290"/>
    </row>
    <row r="85" ht="12.75" customHeight="1">
      <c r="A85" s="290"/>
      <c r="B85" s="427"/>
      <c r="C85" s="290"/>
      <c r="D85" s="427"/>
      <c r="E85" s="290"/>
      <c r="F85" s="290"/>
      <c r="G85" s="290"/>
      <c r="H85" s="290"/>
      <c r="I85" s="290"/>
      <c r="J85" s="290"/>
      <c r="K85" s="290"/>
      <c r="L85" s="290"/>
      <c r="M85" s="290"/>
      <c r="N85" s="290"/>
      <c r="O85" s="290"/>
      <c r="P85" s="290"/>
      <c r="Q85" s="290"/>
      <c r="R85" s="290"/>
      <c r="S85" s="290"/>
      <c r="T85" s="290"/>
      <c r="U85" s="290"/>
      <c r="V85" s="290"/>
      <c r="W85" s="290"/>
      <c r="X85" s="290"/>
      <c r="Y85" s="290"/>
      <c r="Z85" s="290"/>
    </row>
    <row r="86" ht="12.75" customHeight="1">
      <c r="A86" s="290"/>
      <c r="B86" s="427"/>
      <c r="C86" s="290"/>
      <c r="D86" s="427"/>
      <c r="E86" s="290"/>
      <c r="F86" s="290"/>
      <c r="G86" s="290"/>
      <c r="H86" s="290"/>
      <c r="I86" s="290"/>
      <c r="J86" s="290"/>
      <c r="K86" s="290"/>
      <c r="L86" s="290"/>
      <c r="M86" s="290"/>
      <c r="N86" s="290"/>
      <c r="O86" s="290"/>
      <c r="P86" s="290"/>
      <c r="Q86" s="290"/>
      <c r="R86" s="290"/>
      <c r="S86" s="290"/>
      <c r="T86" s="290"/>
      <c r="U86" s="290"/>
      <c r="V86" s="290"/>
      <c r="W86" s="290"/>
      <c r="X86" s="290"/>
      <c r="Y86" s="290"/>
      <c r="Z86" s="290"/>
    </row>
    <row r="87" ht="12.75" customHeight="1">
      <c r="A87" s="290"/>
      <c r="B87" s="427"/>
      <c r="C87" s="290"/>
      <c r="D87" s="427"/>
      <c r="E87" s="290"/>
      <c r="F87" s="290"/>
      <c r="G87" s="290"/>
      <c r="H87" s="290"/>
      <c r="I87" s="290"/>
      <c r="J87" s="290"/>
      <c r="K87" s="290"/>
      <c r="L87" s="290"/>
      <c r="M87" s="290"/>
      <c r="N87" s="290"/>
      <c r="O87" s="290"/>
      <c r="P87" s="290"/>
      <c r="Q87" s="290"/>
      <c r="R87" s="290"/>
      <c r="S87" s="290"/>
      <c r="T87" s="290"/>
      <c r="U87" s="290"/>
      <c r="V87" s="290"/>
      <c r="W87" s="290"/>
      <c r="X87" s="290"/>
      <c r="Y87" s="290"/>
      <c r="Z87" s="290"/>
    </row>
    <row r="88" ht="12.75" customHeight="1">
      <c r="A88" s="290"/>
      <c r="B88" s="427"/>
      <c r="C88" s="290"/>
      <c r="D88" s="427"/>
      <c r="E88" s="290"/>
      <c r="F88" s="290"/>
      <c r="G88" s="290"/>
      <c r="H88" s="290"/>
      <c r="I88" s="290"/>
      <c r="J88" s="290"/>
      <c r="K88" s="290"/>
      <c r="L88" s="290"/>
      <c r="M88" s="290"/>
      <c r="N88" s="290"/>
      <c r="O88" s="290"/>
      <c r="P88" s="290"/>
      <c r="Q88" s="290"/>
      <c r="R88" s="290"/>
      <c r="S88" s="290"/>
      <c r="T88" s="290"/>
      <c r="U88" s="290"/>
      <c r="V88" s="290"/>
      <c r="W88" s="290"/>
      <c r="X88" s="290"/>
      <c r="Y88" s="290"/>
      <c r="Z88" s="290"/>
    </row>
    <row r="89" ht="12.75" customHeight="1">
      <c r="A89" s="290"/>
      <c r="B89" s="427"/>
      <c r="C89" s="290"/>
      <c r="D89" s="427"/>
      <c r="E89" s="290"/>
      <c r="F89" s="290"/>
      <c r="G89" s="290"/>
      <c r="H89" s="290"/>
      <c r="I89" s="290"/>
      <c r="J89" s="290"/>
      <c r="K89" s="290"/>
      <c r="L89" s="290"/>
      <c r="M89" s="290"/>
      <c r="N89" s="290"/>
      <c r="O89" s="290"/>
      <c r="P89" s="290"/>
      <c r="Q89" s="290"/>
      <c r="R89" s="290"/>
      <c r="S89" s="290"/>
      <c r="T89" s="290"/>
      <c r="U89" s="290"/>
      <c r="V89" s="290"/>
      <c r="W89" s="290"/>
      <c r="X89" s="290"/>
      <c r="Y89" s="290"/>
      <c r="Z89" s="290"/>
    </row>
    <row r="90" ht="12.75" customHeight="1">
      <c r="A90" s="290"/>
      <c r="B90" s="427"/>
      <c r="C90" s="290"/>
      <c r="D90" s="427"/>
      <c r="E90" s="290"/>
      <c r="F90" s="290"/>
      <c r="G90" s="290"/>
      <c r="H90" s="290"/>
      <c r="I90" s="290"/>
      <c r="J90" s="290"/>
      <c r="K90" s="290"/>
      <c r="L90" s="290"/>
      <c r="M90" s="290"/>
      <c r="N90" s="290"/>
      <c r="O90" s="290"/>
      <c r="P90" s="290"/>
      <c r="Q90" s="290"/>
      <c r="R90" s="290"/>
      <c r="S90" s="290"/>
      <c r="T90" s="290"/>
      <c r="U90" s="290"/>
      <c r="V90" s="290"/>
      <c r="W90" s="290"/>
      <c r="X90" s="290"/>
      <c r="Y90" s="290"/>
      <c r="Z90" s="290"/>
    </row>
    <row r="91" ht="12.75" customHeight="1">
      <c r="A91" s="290"/>
      <c r="B91" s="427"/>
      <c r="C91" s="290"/>
      <c r="D91" s="427"/>
      <c r="E91" s="290"/>
      <c r="F91" s="290"/>
      <c r="G91" s="290"/>
      <c r="H91" s="290"/>
      <c r="I91" s="290"/>
      <c r="J91" s="290"/>
      <c r="K91" s="290"/>
      <c r="L91" s="290"/>
      <c r="M91" s="290"/>
      <c r="N91" s="290"/>
      <c r="O91" s="290"/>
      <c r="P91" s="290"/>
      <c r="Q91" s="290"/>
      <c r="R91" s="290"/>
      <c r="S91" s="290"/>
      <c r="T91" s="290"/>
      <c r="U91" s="290"/>
      <c r="V91" s="290"/>
      <c r="W91" s="290"/>
      <c r="X91" s="290"/>
      <c r="Y91" s="290"/>
      <c r="Z91" s="290"/>
    </row>
    <row r="92" ht="12.75" customHeight="1">
      <c r="A92" s="290"/>
      <c r="B92" s="427"/>
      <c r="C92" s="290"/>
      <c r="D92" s="427"/>
      <c r="E92" s="290"/>
      <c r="F92" s="290"/>
      <c r="G92" s="290"/>
      <c r="H92" s="290"/>
      <c r="I92" s="290"/>
      <c r="J92" s="290"/>
      <c r="K92" s="290"/>
      <c r="L92" s="290"/>
      <c r="M92" s="290"/>
      <c r="N92" s="290"/>
      <c r="O92" s="290"/>
      <c r="P92" s="290"/>
      <c r="Q92" s="290"/>
      <c r="R92" s="290"/>
      <c r="S92" s="290"/>
      <c r="T92" s="290"/>
      <c r="U92" s="290"/>
      <c r="V92" s="290"/>
      <c r="W92" s="290"/>
      <c r="X92" s="290"/>
      <c r="Y92" s="290"/>
      <c r="Z92" s="290"/>
    </row>
    <row r="93" ht="12.75" customHeight="1">
      <c r="A93" s="290"/>
      <c r="B93" s="427"/>
      <c r="C93" s="290"/>
      <c r="D93" s="427"/>
      <c r="E93" s="290"/>
      <c r="F93" s="290"/>
      <c r="G93" s="290"/>
      <c r="H93" s="290"/>
      <c r="I93" s="290"/>
      <c r="J93" s="290"/>
      <c r="K93" s="290"/>
      <c r="L93" s="290"/>
      <c r="M93" s="290"/>
      <c r="N93" s="290"/>
      <c r="O93" s="290"/>
      <c r="P93" s="290"/>
      <c r="Q93" s="290"/>
      <c r="R93" s="290"/>
      <c r="S93" s="290"/>
      <c r="T93" s="290"/>
      <c r="U93" s="290"/>
      <c r="V93" s="290"/>
      <c r="W93" s="290"/>
      <c r="X93" s="290"/>
      <c r="Y93" s="290"/>
      <c r="Z93" s="290"/>
    </row>
    <row r="94" ht="12.75" customHeight="1">
      <c r="A94" s="290"/>
      <c r="B94" s="427"/>
      <c r="C94" s="290"/>
      <c r="D94" s="427"/>
      <c r="E94" s="290"/>
      <c r="F94" s="290"/>
      <c r="G94" s="290"/>
      <c r="H94" s="290"/>
      <c r="I94" s="290"/>
      <c r="J94" s="290"/>
      <c r="K94" s="290"/>
      <c r="L94" s="290"/>
      <c r="M94" s="290"/>
      <c r="N94" s="290"/>
      <c r="O94" s="290"/>
      <c r="P94" s="290"/>
      <c r="Q94" s="290"/>
      <c r="R94" s="290"/>
      <c r="S94" s="290"/>
      <c r="T94" s="290"/>
      <c r="U94" s="290"/>
      <c r="V94" s="290"/>
      <c r="W94" s="290"/>
      <c r="X94" s="290"/>
      <c r="Y94" s="290"/>
      <c r="Z94" s="290"/>
    </row>
    <row r="95" ht="12.75" customHeight="1">
      <c r="A95" s="290"/>
      <c r="B95" s="427"/>
      <c r="C95" s="290"/>
      <c r="D95" s="427"/>
      <c r="E95" s="290"/>
      <c r="F95" s="290"/>
      <c r="G95" s="290"/>
      <c r="H95" s="290"/>
      <c r="I95" s="290"/>
      <c r="J95" s="290"/>
      <c r="K95" s="290"/>
      <c r="L95" s="290"/>
      <c r="M95" s="290"/>
      <c r="N95" s="290"/>
      <c r="O95" s="290"/>
      <c r="P95" s="290"/>
      <c r="Q95" s="290"/>
      <c r="R95" s="290"/>
      <c r="S95" s="290"/>
      <c r="T95" s="290"/>
      <c r="U95" s="290"/>
      <c r="V95" s="290"/>
      <c r="W95" s="290"/>
      <c r="X95" s="290"/>
      <c r="Y95" s="290"/>
      <c r="Z95" s="290"/>
    </row>
    <row r="96" ht="12.75" customHeight="1">
      <c r="A96" s="290"/>
      <c r="B96" s="427"/>
      <c r="C96" s="290"/>
      <c r="D96" s="427"/>
      <c r="E96" s="290"/>
      <c r="F96" s="290"/>
      <c r="G96" s="290"/>
      <c r="H96" s="290"/>
      <c r="I96" s="290"/>
      <c r="J96" s="290"/>
      <c r="K96" s="290"/>
      <c r="L96" s="290"/>
      <c r="M96" s="290"/>
      <c r="N96" s="290"/>
      <c r="O96" s="290"/>
      <c r="P96" s="290"/>
      <c r="Q96" s="290"/>
      <c r="R96" s="290"/>
      <c r="S96" s="290"/>
      <c r="T96" s="290"/>
      <c r="U96" s="290"/>
      <c r="V96" s="290"/>
      <c r="W96" s="290"/>
      <c r="X96" s="290"/>
      <c r="Y96" s="290"/>
      <c r="Z96" s="290"/>
    </row>
    <row r="97" ht="12.75" customHeight="1">
      <c r="A97" s="290"/>
      <c r="B97" s="427"/>
      <c r="C97" s="290"/>
      <c r="D97" s="427"/>
      <c r="E97" s="290"/>
      <c r="F97" s="290"/>
      <c r="G97" s="290"/>
      <c r="H97" s="290"/>
      <c r="I97" s="290"/>
      <c r="J97" s="290"/>
      <c r="K97" s="290"/>
      <c r="L97" s="290"/>
      <c r="M97" s="290"/>
      <c r="N97" s="290"/>
      <c r="O97" s="290"/>
      <c r="P97" s="290"/>
      <c r="Q97" s="290"/>
      <c r="R97" s="290"/>
      <c r="S97" s="290"/>
      <c r="T97" s="290"/>
      <c r="U97" s="290"/>
      <c r="V97" s="290"/>
      <c r="W97" s="290"/>
      <c r="X97" s="290"/>
      <c r="Y97" s="290"/>
      <c r="Z97" s="290"/>
    </row>
    <row r="98" ht="12.75" customHeight="1">
      <c r="A98" s="290"/>
      <c r="B98" s="427"/>
      <c r="C98" s="290"/>
      <c r="D98" s="427"/>
      <c r="E98" s="290"/>
      <c r="F98" s="290"/>
      <c r="G98" s="290"/>
      <c r="H98" s="290"/>
      <c r="I98" s="290"/>
      <c r="J98" s="290"/>
      <c r="K98" s="290"/>
      <c r="L98" s="290"/>
      <c r="M98" s="290"/>
      <c r="N98" s="290"/>
      <c r="O98" s="290"/>
      <c r="P98" s="290"/>
      <c r="Q98" s="290"/>
      <c r="R98" s="290"/>
      <c r="S98" s="290"/>
      <c r="T98" s="290"/>
      <c r="U98" s="290"/>
      <c r="V98" s="290"/>
      <c r="W98" s="290"/>
      <c r="X98" s="290"/>
      <c r="Y98" s="290"/>
      <c r="Z98" s="290"/>
    </row>
    <row r="99" ht="12.75" customHeight="1">
      <c r="A99" s="290"/>
      <c r="B99" s="427"/>
      <c r="C99" s="290"/>
      <c r="D99" s="427"/>
      <c r="E99" s="290"/>
      <c r="F99" s="290"/>
      <c r="G99" s="290"/>
      <c r="H99" s="290"/>
      <c r="I99" s="290"/>
      <c r="J99" s="290"/>
      <c r="K99" s="290"/>
      <c r="L99" s="290"/>
      <c r="M99" s="290"/>
      <c r="N99" s="290"/>
      <c r="O99" s="290"/>
      <c r="P99" s="290"/>
      <c r="Q99" s="290"/>
      <c r="R99" s="290"/>
      <c r="S99" s="290"/>
      <c r="T99" s="290"/>
      <c r="U99" s="290"/>
      <c r="V99" s="290"/>
      <c r="W99" s="290"/>
      <c r="X99" s="290"/>
      <c r="Y99" s="290"/>
      <c r="Z99" s="290"/>
    </row>
    <row r="100" ht="12.75" customHeight="1">
      <c r="A100" s="290"/>
      <c r="B100" s="427"/>
      <c r="C100" s="290"/>
      <c r="D100" s="427"/>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ht="12.75" customHeight="1">
      <c r="A101" s="290"/>
      <c r="B101" s="427"/>
      <c r="C101" s="290"/>
      <c r="D101" s="427"/>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ht="12.75" customHeight="1">
      <c r="A102" s="290"/>
      <c r="B102" s="427"/>
      <c r="C102" s="290"/>
      <c r="D102" s="427"/>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ht="12.75" customHeight="1">
      <c r="A103" s="290"/>
      <c r="B103" s="427"/>
      <c r="C103" s="290"/>
      <c r="D103" s="427"/>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ht="12.75" customHeight="1">
      <c r="A104" s="290"/>
      <c r="B104" s="427"/>
      <c r="C104" s="290"/>
      <c r="D104" s="427"/>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ht="12.75" customHeight="1">
      <c r="A105" s="290"/>
      <c r="B105" s="427"/>
      <c r="C105" s="290"/>
      <c r="D105" s="427"/>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ht="12.75" customHeight="1">
      <c r="A106" s="290"/>
      <c r="B106" s="427"/>
      <c r="C106" s="290"/>
      <c r="D106" s="427"/>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ht="12.75" customHeight="1">
      <c r="A107" s="290"/>
      <c r="B107" s="427"/>
      <c r="C107" s="290"/>
      <c r="D107" s="427"/>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ht="12.75" customHeight="1">
      <c r="A108" s="290"/>
      <c r="B108" s="427"/>
      <c r="C108" s="290"/>
      <c r="D108" s="427"/>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ht="12.75" customHeight="1">
      <c r="A109" s="290"/>
      <c r="B109" s="427"/>
      <c r="C109" s="290"/>
      <c r="D109" s="427"/>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ht="12.75" customHeight="1">
      <c r="A110" s="290"/>
      <c r="B110" s="427"/>
      <c r="C110" s="290"/>
      <c r="D110" s="427"/>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ht="12.75" customHeight="1">
      <c r="A111" s="290"/>
      <c r="B111" s="427"/>
      <c r="C111" s="290"/>
      <c r="D111" s="427"/>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ht="12.75" customHeight="1">
      <c r="A112" s="290"/>
      <c r="B112" s="427"/>
      <c r="C112" s="290"/>
      <c r="D112" s="427"/>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ht="12.75" customHeight="1">
      <c r="A113" s="290"/>
      <c r="B113" s="427"/>
      <c r="C113" s="290"/>
      <c r="D113" s="427"/>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ht="12.75" customHeight="1">
      <c r="A114" s="290"/>
      <c r="B114" s="427"/>
      <c r="C114" s="290"/>
      <c r="D114" s="427"/>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ht="12.75" customHeight="1">
      <c r="A115" s="290"/>
      <c r="B115" s="427"/>
      <c r="C115" s="290"/>
      <c r="D115" s="427"/>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ht="12.75" customHeight="1">
      <c r="A116" s="290"/>
      <c r="B116" s="427"/>
      <c r="C116" s="290"/>
      <c r="D116" s="427"/>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ht="12.75" customHeight="1">
      <c r="A117" s="290"/>
      <c r="B117" s="427"/>
      <c r="C117" s="290"/>
      <c r="D117" s="427"/>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ht="12.75" customHeight="1">
      <c r="A118" s="290"/>
      <c r="B118" s="427"/>
      <c r="C118" s="290"/>
      <c r="D118" s="427"/>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ht="12.75" customHeight="1">
      <c r="A119" s="290"/>
      <c r="B119" s="427"/>
      <c r="C119" s="290"/>
      <c r="D119" s="427"/>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ht="12.75" customHeight="1">
      <c r="A120" s="290"/>
      <c r="B120" s="427"/>
      <c r="C120" s="290"/>
      <c r="D120" s="427"/>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ht="12.75" customHeight="1">
      <c r="A121" s="290"/>
      <c r="B121" s="427"/>
      <c r="C121" s="290"/>
      <c r="D121" s="427"/>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ht="12.75" customHeight="1">
      <c r="A122" s="290"/>
      <c r="B122" s="427"/>
      <c r="C122" s="290"/>
      <c r="D122" s="427"/>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ht="12.75" customHeight="1">
      <c r="A123" s="290"/>
      <c r="B123" s="427"/>
      <c r="C123" s="290"/>
      <c r="D123" s="427"/>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ht="12.75" customHeight="1">
      <c r="A124" s="290"/>
      <c r="B124" s="427"/>
      <c r="C124" s="290"/>
      <c r="D124" s="427"/>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ht="12.75" customHeight="1">
      <c r="A125" s="290"/>
      <c r="B125" s="427"/>
      <c r="C125" s="290"/>
      <c r="D125" s="427"/>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ht="12.75" customHeight="1">
      <c r="A126" s="290"/>
      <c r="B126" s="427"/>
      <c r="C126" s="290"/>
      <c r="D126" s="427"/>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ht="12.75" customHeight="1">
      <c r="A127" s="290"/>
      <c r="B127" s="427"/>
      <c r="C127" s="290"/>
      <c r="D127" s="427"/>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ht="12.75" customHeight="1">
      <c r="A128" s="290"/>
      <c r="B128" s="427"/>
      <c r="C128" s="290"/>
      <c r="D128" s="427"/>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ht="12.75" customHeight="1">
      <c r="A129" s="290"/>
      <c r="B129" s="427"/>
      <c r="C129" s="290"/>
      <c r="D129" s="427"/>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ht="12.75" customHeight="1">
      <c r="A130" s="290"/>
      <c r="B130" s="427"/>
      <c r="C130" s="290"/>
      <c r="D130" s="427"/>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ht="12.75" customHeight="1">
      <c r="A131" s="290"/>
      <c r="B131" s="427"/>
      <c r="C131" s="290"/>
      <c r="D131" s="427"/>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ht="12.75" customHeight="1">
      <c r="A132" s="290"/>
      <c r="B132" s="427"/>
      <c r="C132" s="290"/>
      <c r="D132" s="427"/>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ht="12.75" customHeight="1">
      <c r="A133" s="290"/>
      <c r="B133" s="427"/>
      <c r="C133" s="290"/>
      <c r="D133" s="427"/>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ht="12.75" customHeight="1">
      <c r="A134" s="290"/>
      <c r="B134" s="427"/>
      <c r="C134" s="290"/>
      <c r="D134" s="427"/>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ht="12.75" customHeight="1">
      <c r="A135" s="290"/>
      <c r="B135" s="427"/>
      <c r="C135" s="290"/>
      <c r="D135" s="427"/>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ht="12.75" customHeight="1">
      <c r="A136" s="290"/>
      <c r="B136" s="427"/>
      <c r="C136" s="290"/>
      <c r="D136" s="427"/>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ht="12.75" customHeight="1">
      <c r="A137" s="290"/>
      <c r="B137" s="427"/>
      <c r="C137" s="290"/>
      <c r="D137" s="427"/>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ht="12.75" customHeight="1">
      <c r="A138" s="290"/>
      <c r="B138" s="427"/>
      <c r="C138" s="290"/>
      <c r="D138" s="427"/>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ht="12.75" customHeight="1">
      <c r="A139" s="290"/>
      <c r="B139" s="427"/>
      <c r="C139" s="290"/>
      <c r="D139" s="427"/>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ht="12.75" customHeight="1">
      <c r="A140" s="290"/>
      <c r="B140" s="427"/>
      <c r="C140" s="290"/>
      <c r="D140" s="427"/>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ht="12.75" customHeight="1">
      <c r="A141" s="290"/>
      <c r="B141" s="427"/>
      <c r="C141" s="290"/>
      <c r="D141" s="427"/>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ht="12.75" customHeight="1">
      <c r="A142" s="290"/>
      <c r="B142" s="427"/>
      <c r="C142" s="290"/>
      <c r="D142" s="427"/>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ht="12.75" customHeight="1">
      <c r="A143" s="290"/>
      <c r="B143" s="427"/>
      <c r="C143" s="290"/>
      <c r="D143" s="427"/>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ht="12.75" customHeight="1">
      <c r="A144" s="290"/>
      <c r="B144" s="427"/>
      <c r="C144" s="290"/>
      <c r="D144" s="427"/>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ht="12.75" customHeight="1">
      <c r="A145" s="290"/>
      <c r="B145" s="427"/>
      <c r="C145" s="290"/>
      <c r="D145" s="427"/>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ht="12.75" customHeight="1">
      <c r="A146" s="290"/>
      <c r="B146" s="427"/>
      <c r="C146" s="290"/>
      <c r="D146" s="427"/>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ht="12.75" customHeight="1">
      <c r="A147" s="290"/>
      <c r="B147" s="427"/>
      <c r="C147" s="290"/>
      <c r="D147" s="427"/>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ht="12.75" customHeight="1">
      <c r="A148" s="290"/>
      <c r="B148" s="427"/>
      <c r="C148" s="290"/>
      <c r="D148" s="427"/>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ht="12.75" customHeight="1">
      <c r="A149" s="290"/>
      <c r="B149" s="427"/>
      <c r="C149" s="290"/>
      <c r="D149" s="427"/>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ht="12.75" customHeight="1">
      <c r="A150" s="290"/>
      <c r="B150" s="427"/>
      <c r="C150" s="290"/>
      <c r="D150" s="427"/>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ht="12.75" customHeight="1">
      <c r="A151" s="290"/>
      <c r="B151" s="427"/>
      <c r="C151" s="290"/>
      <c r="D151" s="427"/>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ht="12.75" customHeight="1">
      <c r="A152" s="290"/>
      <c r="B152" s="427"/>
      <c r="C152" s="290"/>
      <c r="D152" s="427"/>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ht="12.75" customHeight="1">
      <c r="A153" s="290"/>
      <c r="B153" s="427"/>
      <c r="C153" s="290"/>
      <c r="D153" s="427"/>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ht="12.75" customHeight="1">
      <c r="A154" s="290"/>
      <c r="B154" s="427"/>
      <c r="C154" s="290"/>
      <c r="D154" s="427"/>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ht="12.75" customHeight="1">
      <c r="A155" s="290"/>
      <c r="B155" s="427"/>
      <c r="C155" s="290"/>
      <c r="D155" s="427"/>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ht="12.75" customHeight="1">
      <c r="A156" s="290"/>
      <c r="B156" s="427"/>
      <c r="C156" s="290"/>
      <c r="D156" s="427"/>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ht="12.75" customHeight="1">
      <c r="A157" s="290"/>
      <c r="B157" s="427"/>
      <c r="C157" s="290"/>
      <c r="D157" s="427"/>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ht="12.75" customHeight="1">
      <c r="A158" s="290"/>
      <c r="B158" s="427"/>
      <c r="C158" s="290"/>
      <c r="D158" s="427"/>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ht="12.75" customHeight="1">
      <c r="A159" s="290"/>
      <c r="B159" s="427"/>
      <c r="C159" s="290"/>
      <c r="D159" s="427"/>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ht="12.75" customHeight="1">
      <c r="A160" s="290"/>
      <c r="B160" s="427"/>
      <c r="C160" s="290"/>
      <c r="D160" s="427"/>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ht="12.75" customHeight="1">
      <c r="A161" s="290"/>
      <c r="B161" s="427"/>
      <c r="C161" s="290"/>
      <c r="D161" s="427"/>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ht="12.75" customHeight="1">
      <c r="A162" s="290"/>
      <c r="B162" s="427"/>
      <c r="C162" s="290"/>
      <c r="D162" s="427"/>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ht="12.75" customHeight="1">
      <c r="A163" s="290"/>
      <c r="B163" s="427"/>
      <c r="C163" s="290"/>
      <c r="D163" s="427"/>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ht="12.75" customHeight="1">
      <c r="A164" s="290"/>
      <c r="B164" s="427"/>
      <c r="C164" s="290"/>
      <c r="D164" s="427"/>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ht="12.75" customHeight="1">
      <c r="A165" s="290"/>
      <c r="B165" s="427"/>
      <c r="C165" s="290"/>
      <c r="D165" s="427"/>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ht="12.75" customHeight="1">
      <c r="A166" s="290"/>
      <c r="B166" s="427"/>
      <c r="C166" s="290"/>
      <c r="D166" s="427"/>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ht="12.75" customHeight="1">
      <c r="A167" s="290"/>
      <c r="B167" s="427"/>
      <c r="C167" s="290"/>
      <c r="D167" s="427"/>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ht="12.75" customHeight="1">
      <c r="A168" s="290"/>
      <c r="B168" s="427"/>
      <c r="C168" s="290"/>
      <c r="D168" s="427"/>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ht="12.75" customHeight="1">
      <c r="A169" s="290"/>
      <c r="B169" s="427"/>
      <c r="C169" s="290"/>
      <c r="D169" s="427"/>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ht="12.75" customHeight="1">
      <c r="A170" s="290"/>
      <c r="B170" s="427"/>
      <c r="C170" s="290"/>
      <c r="D170" s="427"/>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ht="12.75" customHeight="1">
      <c r="A171" s="290"/>
      <c r="B171" s="427"/>
      <c r="C171" s="290"/>
      <c r="D171" s="427"/>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ht="12.75" customHeight="1">
      <c r="A172" s="290"/>
      <c r="B172" s="427"/>
      <c r="C172" s="290"/>
      <c r="D172" s="427"/>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ht="12.75" customHeight="1">
      <c r="A173" s="290"/>
      <c r="B173" s="427"/>
      <c r="C173" s="290"/>
      <c r="D173" s="427"/>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ht="12.75" customHeight="1">
      <c r="A174" s="290"/>
      <c r="B174" s="427"/>
      <c r="C174" s="290"/>
      <c r="D174" s="427"/>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ht="12.75" customHeight="1">
      <c r="A175" s="290"/>
      <c r="B175" s="427"/>
      <c r="C175" s="290"/>
      <c r="D175" s="427"/>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ht="12.75" customHeight="1">
      <c r="A176" s="290"/>
      <c r="B176" s="427"/>
      <c r="C176" s="290"/>
      <c r="D176" s="427"/>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ht="12.75" customHeight="1">
      <c r="A177" s="290"/>
      <c r="B177" s="427"/>
      <c r="C177" s="290"/>
      <c r="D177" s="427"/>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ht="12.75" customHeight="1">
      <c r="A178" s="290"/>
      <c r="B178" s="427"/>
      <c r="C178" s="290"/>
      <c r="D178" s="427"/>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ht="12.75" customHeight="1">
      <c r="A179" s="290"/>
      <c r="B179" s="427"/>
      <c r="C179" s="290"/>
      <c r="D179" s="427"/>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ht="12.75" customHeight="1">
      <c r="A180" s="290"/>
      <c r="B180" s="427"/>
      <c r="C180" s="290"/>
      <c r="D180" s="427"/>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ht="12.75" customHeight="1">
      <c r="A181" s="290"/>
      <c r="B181" s="427"/>
      <c r="C181" s="290"/>
      <c r="D181" s="427"/>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ht="12.75" customHeight="1">
      <c r="A182" s="290"/>
      <c r="B182" s="427"/>
      <c r="C182" s="290"/>
      <c r="D182" s="427"/>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ht="12.75" customHeight="1">
      <c r="A183" s="290"/>
      <c r="B183" s="427"/>
      <c r="C183" s="290"/>
      <c r="D183" s="427"/>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ht="12.75" customHeight="1">
      <c r="A184" s="290"/>
      <c r="B184" s="427"/>
      <c r="C184" s="290"/>
      <c r="D184" s="427"/>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ht="12.75" customHeight="1">
      <c r="A185" s="290"/>
      <c r="B185" s="427"/>
      <c r="C185" s="290"/>
      <c r="D185" s="427"/>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ht="12.75" customHeight="1">
      <c r="A186" s="290"/>
      <c r="B186" s="427"/>
      <c r="C186" s="290"/>
      <c r="D186" s="427"/>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ht="12.75" customHeight="1">
      <c r="A187" s="290"/>
      <c r="B187" s="427"/>
      <c r="C187" s="290"/>
      <c r="D187" s="427"/>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ht="12.75" customHeight="1">
      <c r="A188" s="290"/>
      <c r="B188" s="427"/>
      <c r="C188" s="290"/>
      <c r="D188" s="427"/>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ht="12.75" customHeight="1">
      <c r="A189" s="290"/>
      <c r="B189" s="427"/>
      <c r="C189" s="290"/>
      <c r="D189" s="427"/>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ht="12.75" customHeight="1">
      <c r="A190" s="290"/>
      <c r="B190" s="427"/>
      <c r="C190" s="290"/>
      <c r="D190" s="427"/>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ht="12.75" customHeight="1">
      <c r="A191" s="290"/>
      <c r="B191" s="427"/>
      <c r="C191" s="290"/>
      <c r="D191" s="427"/>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ht="12.75" customHeight="1">
      <c r="A192" s="290"/>
      <c r="B192" s="427"/>
      <c r="C192" s="290"/>
      <c r="D192" s="427"/>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ht="12.75" customHeight="1">
      <c r="A193" s="290"/>
      <c r="B193" s="427"/>
      <c r="C193" s="290"/>
      <c r="D193" s="427"/>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ht="12.75" customHeight="1">
      <c r="A194" s="290"/>
      <c r="B194" s="427"/>
      <c r="C194" s="290"/>
      <c r="D194" s="427"/>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ht="12.75" customHeight="1">
      <c r="A195" s="290"/>
      <c r="B195" s="427"/>
      <c r="C195" s="290"/>
      <c r="D195" s="427"/>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ht="12.75" customHeight="1">
      <c r="A196" s="290"/>
      <c r="B196" s="427"/>
      <c r="C196" s="290"/>
      <c r="D196" s="427"/>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ht="12.75" customHeight="1">
      <c r="A197" s="290"/>
      <c r="B197" s="427"/>
      <c r="C197" s="290"/>
      <c r="D197" s="427"/>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ht="12.75" customHeight="1">
      <c r="A198" s="290"/>
      <c r="B198" s="427"/>
      <c r="C198" s="290"/>
      <c r="D198" s="427"/>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ht="12.75" customHeight="1">
      <c r="A199" s="290"/>
      <c r="B199" s="427"/>
      <c r="C199" s="290"/>
      <c r="D199" s="427"/>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ht="12.75" customHeight="1">
      <c r="A200" s="290"/>
      <c r="B200" s="427"/>
      <c r="C200" s="290"/>
      <c r="D200" s="427"/>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ht="12.75" customHeight="1">
      <c r="A201" s="290"/>
      <c r="B201" s="427"/>
      <c r="C201" s="290"/>
      <c r="D201" s="427"/>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ht="12.75" customHeight="1">
      <c r="A202" s="290"/>
      <c r="B202" s="427"/>
      <c r="C202" s="290"/>
      <c r="D202" s="427"/>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ht="12.75" customHeight="1">
      <c r="A203" s="290"/>
      <c r="B203" s="427"/>
      <c r="C203" s="290"/>
      <c r="D203" s="427"/>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ht="12.75" customHeight="1">
      <c r="A204" s="290"/>
      <c r="B204" s="427"/>
      <c r="C204" s="290"/>
      <c r="D204" s="427"/>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ht="12.75" customHeight="1">
      <c r="A205" s="290"/>
      <c r="B205" s="427"/>
      <c r="C205" s="290"/>
      <c r="D205" s="427"/>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ht="12.75" customHeight="1">
      <c r="A206" s="290"/>
      <c r="B206" s="427"/>
      <c r="C206" s="290"/>
      <c r="D206" s="427"/>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ht="12.75" customHeight="1">
      <c r="A207" s="290"/>
      <c r="B207" s="427"/>
      <c r="C207" s="290"/>
      <c r="D207" s="427"/>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ht="12.75" customHeight="1">
      <c r="A208" s="290"/>
      <c r="B208" s="427"/>
      <c r="C208" s="290"/>
      <c r="D208" s="427"/>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ht="12.75" customHeight="1">
      <c r="A209" s="290"/>
      <c r="B209" s="427"/>
      <c r="C209" s="290"/>
      <c r="D209" s="427"/>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ht="12.75" customHeight="1">
      <c r="A210" s="290"/>
      <c r="B210" s="427"/>
      <c r="C210" s="290"/>
      <c r="D210" s="427"/>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ht="12.75" customHeight="1">
      <c r="A211" s="290"/>
      <c r="B211" s="427"/>
      <c r="C211" s="290"/>
      <c r="D211" s="427"/>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ht="12.75" customHeight="1">
      <c r="A212" s="290"/>
      <c r="B212" s="427"/>
      <c r="C212" s="290"/>
      <c r="D212" s="427"/>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ht="12.75" customHeight="1">
      <c r="A213" s="290"/>
      <c r="B213" s="427"/>
      <c r="C213" s="290"/>
      <c r="D213" s="427"/>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ht="12.75" customHeight="1">
      <c r="A214" s="290"/>
      <c r="B214" s="427"/>
      <c r="C214" s="290"/>
      <c r="D214" s="427"/>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ht="12.75" customHeight="1">
      <c r="A215" s="290"/>
      <c r="B215" s="427"/>
      <c r="C215" s="290"/>
      <c r="D215" s="427"/>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ht="12.75" customHeight="1">
      <c r="A216" s="290"/>
      <c r="B216" s="427"/>
      <c r="C216" s="290"/>
      <c r="D216" s="427"/>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ht="12.75" customHeight="1">
      <c r="A217" s="290"/>
      <c r="B217" s="427"/>
      <c r="C217" s="290"/>
      <c r="D217" s="427"/>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ht="12.75" customHeight="1">
      <c r="A218" s="290"/>
      <c r="B218" s="427"/>
      <c r="C218" s="290"/>
      <c r="D218" s="427"/>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ht="12.75" customHeight="1">
      <c r="A219" s="290"/>
      <c r="B219" s="427"/>
      <c r="C219" s="290"/>
      <c r="D219" s="427"/>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ht="12.75" customHeight="1">
      <c r="A220" s="290"/>
      <c r="B220" s="427"/>
      <c r="C220" s="290"/>
      <c r="D220" s="427"/>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3" width="11.86"/>
    <col customWidth="1" min="4" max="4" width="4.57"/>
    <col customWidth="1" min="5" max="6" width="5.14"/>
    <col customWidth="1" min="7" max="7" width="4.57"/>
    <col customWidth="1" min="8" max="8" width="5.14"/>
    <col customWidth="1" min="9" max="9" width="4.0"/>
    <col customWidth="1" min="10" max="13" width="4.57"/>
    <col customWidth="1" min="14" max="14" width="14.43"/>
    <col customWidth="1" min="15" max="15" width="13.43"/>
    <col customWidth="1" min="16" max="16" width="9.14"/>
    <col customWidth="1" min="17" max="17" width="49.0"/>
    <col customWidth="1" min="18" max="18" width="11.86"/>
    <col customWidth="1" min="19" max="23" width="4.57"/>
    <col customWidth="1" min="24" max="24" width="4.0"/>
    <col customWidth="1" min="25" max="28" width="4.57"/>
    <col customWidth="1" min="29" max="29" width="14.43"/>
    <col customWidth="1" min="30" max="30" width="13.43"/>
  </cols>
  <sheetData>
    <row r="1" ht="12.75" customHeight="1">
      <c r="A1" s="428"/>
      <c r="B1" s="424"/>
      <c r="C1" s="424"/>
      <c r="D1" s="429" t="s">
        <v>1094</v>
      </c>
      <c r="E1" s="67"/>
      <c r="F1" s="67"/>
      <c r="G1" s="67"/>
      <c r="H1" s="68"/>
      <c r="I1" s="430" t="s">
        <v>1096</v>
      </c>
      <c r="J1" s="67"/>
      <c r="K1" s="67"/>
      <c r="L1" s="67"/>
      <c r="M1" s="68"/>
      <c r="N1" s="424"/>
      <c r="O1" s="424"/>
      <c r="P1" s="290"/>
      <c r="Q1" s="428"/>
      <c r="R1" s="424"/>
      <c r="S1" s="429" t="s">
        <v>1094</v>
      </c>
      <c r="T1" s="67"/>
      <c r="U1" s="67"/>
      <c r="V1" s="67"/>
      <c r="W1" s="68"/>
      <c r="X1" s="430" t="s">
        <v>1096</v>
      </c>
      <c r="Y1" s="67"/>
      <c r="Z1" s="67"/>
      <c r="AA1" s="67"/>
      <c r="AB1" s="68"/>
      <c r="AC1" s="424"/>
      <c r="AD1" s="424"/>
    </row>
    <row r="2" ht="12.75" customHeight="1">
      <c r="A2" s="431" t="s">
        <v>1106</v>
      </c>
      <c r="B2" s="423" t="s">
        <v>1108</v>
      </c>
      <c r="C2" s="423" t="s">
        <v>408</v>
      </c>
      <c r="D2" s="432" t="s">
        <v>1109</v>
      </c>
      <c r="E2" s="432" t="s">
        <v>1111</v>
      </c>
      <c r="F2" s="432" t="s">
        <v>1113</v>
      </c>
      <c r="G2" s="432" t="s">
        <v>1114</v>
      </c>
      <c r="H2" s="432" t="s">
        <v>1116</v>
      </c>
      <c r="I2" s="433" t="s">
        <v>1109</v>
      </c>
      <c r="J2" s="433" t="s">
        <v>1111</v>
      </c>
      <c r="K2" s="433" t="s">
        <v>1113</v>
      </c>
      <c r="L2" s="433" t="s">
        <v>1114</v>
      </c>
      <c r="M2" s="433" t="s">
        <v>1116</v>
      </c>
      <c r="N2" s="423" t="s">
        <v>1119</v>
      </c>
      <c r="O2" s="423" t="s">
        <v>1121</v>
      </c>
      <c r="P2" s="290"/>
      <c r="Q2" s="431" t="s">
        <v>1122</v>
      </c>
      <c r="R2" s="423" t="s">
        <v>1108</v>
      </c>
      <c r="S2" s="432" t="s">
        <v>1109</v>
      </c>
      <c r="T2" s="432" t="s">
        <v>1111</v>
      </c>
      <c r="U2" s="432" t="s">
        <v>1113</v>
      </c>
      <c r="V2" s="432" t="s">
        <v>1114</v>
      </c>
      <c r="W2" s="432" t="s">
        <v>1116</v>
      </c>
      <c r="X2" s="433" t="s">
        <v>1109</v>
      </c>
      <c r="Y2" s="433" t="s">
        <v>1111</v>
      </c>
      <c r="Z2" s="433" t="s">
        <v>1113</v>
      </c>
      <c r="AA2" s="433" t="s">
        <v>1114</v>
      </c>
      <c r="AB2" s="433" t="s">
        <v>1116</v>
      </c>
      <c r="AC2" s="423" t="s">
        <v>1119</v>
      </c>
      <c r="AD2" s="423" t="s">
        <v>1121</v>
      </c>
    </row>
    <row r="3" ht="12.75" customHeight="1">
      <c r="A3" s="428" t="s">
        <v>1128</v>
      </c>
      <c r="B3" s="424" t="s">
        <v>1130</v>
      </c>
      <c r="C3" s="424">
        <v>1.0</v>
      </c>
      <c r="D3" s="434"/>
      <c r="E3" s="434"/>
      <c r="F3" s="434"/>
      <c r="G3" s="434"/>
      <c r="H3" s="434"/>
      <c r="I3" s="435"/>
      <c r="J3" s="435"/>
      <c r="K3" s="435"/>
      <c r="L3" s="435"/>
      <c r="M3" s="435"/>
      <c r="N3" s="424">
        <f t="shared" ref="N3:O3" si="1">AC19</f>
        <v>135</v>
      </c>
      <c r="O3" s="424">
        <f t="shared" si="1"/>
        <v>45</v>
      </c>
      <c r="P3" s="290"/>
      <c r="Q3" s="428" t="s">
        <v>1137</v>
      </c>
      <c r="R3" s="424" t="s">
        <v>1138</v>
      </c>
      <c r="S3" s="434">
        <v>0.0</v>
      </c>
      <c r="T3" s="434">
        <v>0.03</v>
      </c>
      <c r="U3" s="434">
        <v>0.04</v>
      </c>
      <c r="V3" s="434">
        <v>0.05</v>
      </c>
      <c r="W3" s="434">
        <v>0.05</v>
      </c>
      <c r="X3" s="435"/>
      <c r="Y3" s="435"/>
      <c r="Z3" s="435"/>
      <c r="AA3" s="435"/>
      <c r="AB3" s="435"/>
      <c r="AC3" s="424"/>
      <c r="AD3" s="424"/>
    </row>
    <row r="4" ht="12.75" customHeight="1">
      <c r="A4" s="428" t="s">
        <v>1143</v>
      </c>
      <c r="B4" s="424" t="s">
        <v>1130</v>
      </c>
      <c r="C4" s="424"/>
      <c r="D4" s="434">
        <f>S18</f>
        <v>0</v>
      </c>
      <c r="E4" s="434">
        <v>0.0</v>
      </c>
      <c r="F4" s="434">
        <v>0.1</v>
      </c>
      <c r="G4" s="434">
        <v>0.15</v>
      </c>
      <c r="H4" s="434">
        <v>0.2</v>
      </c>
      <c r="I4" s="435">
        <f t="shared" ref="I4:M4" si="2">X18</f>
        <v>0</v>
      </c>
      <c r="J4" s="435">
        <f t="shared" si="2"/>
        <v>0</v>
      </c>
      <c r="K4" s="435">
        <f t="shared" si="2"/>
        <v>2.5</v>
      </c>
      <c r="L4" s="435">
        <f t="shared" si="2"/>
        <v>3.75</v>
      </c>
      <c r="M4" s="435">
        <f t="shared" si="2"/>
        <v>5</v>
      </c>
      <c r="N4" s="424"/>
      <c r="O4" s="424"/>
      <c r="P4" s="290"/>
      <c r="Q4" s="428" t="s">
        <v>1150</v>
      </c>
      <c r="R4" s="424" t="s">
        <v>1138</v>
      </c>
      <c r="S4" s="434"/>
      <c r="T4" s="434"/>
      <c r="U4" s="434"/>
      <c r="V4" s="434"/>
      <c r="W4" s="434"/>
      <c r="X4" s="435">
        <v>0.0</v>
      </c>
      <c r="Y4" s="435">
        <v>0.5</v>
      </c>
      <c r="Z4" s="435">
        <v>0.5</v>
      </c>
      <c r="AA4" s="435">
        <v>0.6</v>
      </c>
      <c r="AB4" s="435">
        <v>0.7</v>
      </c>
      <c r="AC4" s="424"/>
      <c r="AD4" s="424"/>
    </row>
    <row r="5" ht="12.75" customHeight="1">
      <c r="A5" s="428" t="s">
        <v>1156</v>
      </c>
      <c r="B5" s="424" t="s">
        <v>1130</v>
      </c>
      <c r="C5" s="424"/>
      <c r="D5" s="434"/>
      <c r="E5" s="434"/>
      <c r="F5" s="434"/>
      <c r="G5" s="434"/>
      <c r="H5" s="434"/>
      <c r="I5" s="435"/>
      <c r="J5" s="435"/>
      <c r="K5" s="435"/>
      <c r="L5" s="435"/>
      <c r="M5" s="435"/>
      <c r="N5" s="424"/>
      <c r="O5" s="424">
        <f>AD22</f>
        <v>200</v>
      </c>
      <c r="P5" s="290"/>
      <c r="Q5" s="428" t="s">
        <v>1162</v>
      </c>
      <c r="R5" s="424" t="s">
        <v>1138</v>
      </c>
      <c r="S5" s="434">
        <v>0.0</v>
      </c>
      <c r="T5" s="434">
        <v>0.1</v>
      </c>
      <c r="U5" s="434">
        <v>0.1</v>
      </c>
      <c r="V5" s="434">
        <v>0.11</v>
      </c>
      <c r="W5" s="434">
        <v>0.14</v>
      </c>
      <c r="X5" s="435"/>
      <c r="Y5" s="435"/>
      <c r="Z5" s="435"/>
      <c r="AA5" s="435"/>
      <c r="AB5" s="435"/>
      <c r="AC5" s="424"/>
      <c r="AD5" s="424"/>
    </row>
    <row r="6" ht="12.75" customHeight="1">
      <c r="A6" s="428" t="s">
        <v>1168</v>
      </c>
      <c r="B6" s="424" t="s">
        <v>1130</v>
      </c>
      <c r="C6" s="424"/>
      <c r="D6" s="434">
        <f t="shared" ref="D6:H6" si="3">S20</f>
        <v>0</v>
      </c>
      <c r="E6" s="434">
        <f t="shared" si="3"/>
        <v>0.5</v>
      </c>
      <c r="F6" s="434">
        <f t="shared" si="3"/>
        <v>0.5</v>
      </c>
      <c r="G6" s="434">
        <f t="shared" si="3"/>
        <v>0.5</v>
      </c>
      <c r="H6" s="434">
        <f t="shared" si="3"/>
        <v>0.5</v>
      </c>
      <c r="I6" s="435"/>
      <c r="J6" s="435"/>
      <c r="K6" s="435"/>
      <c r="L6" s="435"/>
      <c r="M6" s="435"/>
      <c r="N6" s="424"/>
      <c r="O6" s="424"/>
      <c r="P6" s="290"/>
      <c r="Q6" s="428" t="s">
        <v>1175</v>
      </c>
      <c r="R6" s="424" t="s">
        <v>1138</v>
      </c>
      <c r="S6" s="434">
        <v>0.0</v>
      </c>
      <c r="T6" s="434">
        <v>0.1</v>
      </c>
      <c r="U6" s="434">
        <v>0.1</v>
      </c>
      <c r="V6" s="434">
        <v>0.11</v>
      </c>
      <c r="W6" s="434">
        <v>0.14</v>
      </c>
      <c r="X6" s="435"/>
      <c r="Y6" s="435"/>
      <c r="Z6" s="435"/>
      <c r="AA6" s="435"/>
      <c r="AB6" s="435"/>
      <c r="AC6" s="424"/>
      <c r="AD6" s="424"/>
    </row>
    <row r="7" ht="12.75" customHeight="1">
      <c r="A7" s="428" t="s">
        <v>1179</v>
      </c>
      <c r="B7" s="424" t="s">
        <v>1138</v>
      </c>
      <c r="C7" s="424"/>
      <c r="D7" s="434">
        <f t="shared" ref="D7:H7" si="4">S13</f>
        <v>0</v>
      </c>
      <c r="E7" s="434">
        <f t="shared" si="4"/>
        <v>0.2</v>
      </c>
      <c r="F7" s="434">
        <f t="shared" si="4"/>
        <v>0.25</v>
      </c>
      <c r="G7" s="434">
        <f t="shared" si="4"/>
        <v>0.4</v>
      </c>
      <c r="H7" s="434">
        <f t="shared" si="4"/>
        <v>0.4</v>
      </c>
      <c r="I7" s="435"/>
      <c r="J7" s="435"/>
      <c r="K7" s="435"/>
      <c r="L7" s="435"/>
      <c r="M7" s="435"/>
      <c r="N7" s="424"/>
      <c r="O7" s="424"/>
      <c r="P7" s="290"/>
      <c r="Q7" s="428" t="s">
        <v>1180</v>
      </c>
      <c r="R7" s="424" t="s">
        <v>1138</v>
      </c>
      <c r="S7" s="434">
        <v>0.0</v>
      </c>
      <c r="T7" s="434">
        <v>0.1</v>
      </c>
      <c r="U7" s="434">
        <v>0.1</v>
      </c>
      <c r="V7" s="434">
        <v>0.11</v>
      </c>
      <c r="W7" s="434">
        <v>0.14</v>
      </c>
      <c r="X7" s="435"/>
      <c r="Y7" s="435"/>
      <c r="Z7" s="435"/>
      <c r="AA7" s="435"/>
      <c r="AB7" s="435"/>
      <c r="AC7" s="424"/>
      <c r="AD7" s="424"/>
    </row>
    <row r="8" ht="12.75" customHeight="1">
      <c r="A8" s="428" t="s">
        <v>1181</v>
      </c>
      <c r="B8" s="424" t="s">
        <v>1138</v>
      </c>
      <c r="C8" s="424"/>
      <c r="D8" s="434">
        <f t="shared" ref="D8:H8" si="5">S11</f>
        <v>0</v>
      </c>
      <c r="E8" s="434">
        <f t="shared" si="5"/>
        <v>0.03</v>
      </c>
      <c r="F8" s="434">
        <f t="shared" si="5"/>
        <v>0.04</v>
      </c>
      <c r="G8" s="434">
        <f t="shared" si="5"/>
        <v>0.04</v>
      </c>
      <c r="H8" s="434">
        <f t="shared" si="5"/>
        <v>0.04</v>
      </c>
      <c r="I8" s="435"/>
      <c r="J8" s="435"/>
      <c r="K8" s="435"/>
      <c r="L8" s="435"/>
      <c r="M8" s="435"/>
      <c r="N8" s="424"/>
      <c r="O8" s="424"/>
      <c r="P8" s="290"/>
      <c r="Q8" s="428" t="s">
        <v>1182</v>
      </c>
      <c r="R8" s="424" t="s">
        <v>1138</v>
      </c>
      <c r="S8" s="434">
        <v>0.0</v>
      </c>
      <c r="T8" s="434">
        <v>0.65</v>
      </c>
      <c r="U8" s="434">
        <v>0.65</v>
      </c>
      <c r="V8" s="434">
        <v>0.75</v>
      </c>
      <c r="W8" s="434">
        <v>0.95</v>
      </c>
      <c r="X8" s="435"/>
      <c r="Y8" s="435"/>
      <c r="Z8" s="435"/>
      <c r="AA8" s="435"/>
      <c r="AB8" s="435"/>
      <c r="AC8" s="424"/>
      <c r="AD8" s="424"/>
    </row>
    <row r="9" ht="12.75" customHeight="1">
      <c r="A9" s="428" t="s">
        <v>1183</v>
      </c>
      <c r="B9" s="424" t="s">
        <v>1130</v>
      </c>
      <c r="C9" s="424"/>
      <c r="D9" s="434">
        <f t="shared" ref="D9:H9" si="6">S21</f>
        <v>0</v>
      </c>
      <c r="E9" s="434">
        <f t="shared" si="6"/>
        <v>0.35</v>
      </c>
      <c r="F9" s="434">
        <f t="shared" si="6"/>
        <v>0.35</v>
      </c>
      <c r="G9" s="434">
        <f t="shared" si="6"/>
        <v>0.35</v>
      </c>
      <c r="H9" s="434">
        <f t="shared" si="6"/>
        <v>0.35</v>
      </c>
      <c r="I9" s="435"/>
      <c r="J9" s="435"/>
      <c r="K9" s="435"/>
      <c r="L9" s="435"/>
      <c r="M9" s="435"/>
      <c r="N9" s="424"/>
      <c r="O9" s="424"/>
      <c r="P9" s="290"/>
      <c r="Q9" s="428" t="s">
        <v>1184</v>
      </c>
      <c r="R9" s="424" t="s">
        <v>1138</v>
      </c>
      <c r="S9" s="434">
        <v>0.0</v>
      </c>
      <c r="T9" s="434">
        <v>0.6</v>
      </c>
      <c r="U9" s="434">
        <v>0.7</v>
      </c>
      <c r="V9" s="434">
        <v>0.7</v>
      </c>
      <c r="W9" s="434">
        <v>0.7</v>
      </c>
      <c r="X9" s="435"/>
      <c r="Y9" s="435"/>
      <c r="Z9" s="435"/>
      <c r="AA9" s="435"/>
      <c r="AB9" s="435"/>
      <c r="AC9" s="424"/>
      <c r="AD9" s="424"/>
    </row>
    <row r="10" ht="12.75" customHeight="1">
      <c r="A10" s="428" t="s">
        <v>1185</v>
      </c>
      <c r="B10" s="424" t="s">
        <v>1138</v>
      </c>
      <c r="C10" s="424"/>
      <c r="D10" s="434">
        <f t="shared" ref="D10:H10" si="7">S14</f>
        <v>0</v>
      </c>
      <c r="E10" s="434">
        <f t="shared" si="7"/>
        <v>0.35</v>
      </c>
      <c r="F10" s="434">
        <f t="shared" si="7"/>
        <v>0.35</v>
      </c>
      <c r="G10" s="434">
        <f t="shared" si="7"/>
        <v>0.35</v>
      </c>
      <c r="H10" s="434">
        <f t="shared" si="7"/>
        <v>0.35</v>
      </c>
      <c r="I10" s="435"/>
      <c r="J10" s="435"/>
      <c r="K10" s="435"/>
      <c r="L10" s="435"/>
      <c r="M10" s="435"/>
      <c r="N10" s="424"/>
      <c r="O10" s="424"/>
      <c r="P10" s="290"/>
      <c r="Q10" s="428" t="s">
        <v>1186</v>
      </c>
      <c r="R10" s="424" t="s">
        <v>1138</v>
      </c>
      <c r="S10" s="434">
        <v>0.0</v>
      </c>
      <c r="T10" s="434">
        <v>0.12</v>
      </c>
      <c r="U10" s="434">
        <v>0.12</v>
      </c>
      <c r="V10" s="434">
        <v>0.14</v>
      </c>
      <c r="W10" s="434">
        <v>0.21</v>
      </c>
      <c r="X10" s="435"/>
      <c r="Y10" s="435"/>
      <c r="Z10" s="435"/>
      <c r="AA10" s="435"/>
      <c r="AB10" s="435"/>
      <c r="AC10" s="424"/>
      <c r="AD10" s="424"/>
    </row>
    <row r="11" ht="12.75" customHeight="1">
      <c r="A11" s="428" t="s">
        <v>1187</v>
      </c>
      <c r="B11" s="424" t="s">
        <v>1138</v>
      </c>
      <c r="C11" s="424"/>
      <c r="D11" s="434"/>
      <c r="E11" s="434"/>
      <c r="F11" s="434"/>
      <c r="G11" s="434"/>
      <c r="H11" s="434"/>
      <c r="I11" s="435" t="str">
        <f t="shared" ref="I11:M11" si="8">#REF!</f>
        <v>#REF!</v>
      </c>
      <c r="J11" s="435" t="str">
        <f t="shared" si="8"/>
        <v>#REF!</v>
      </c>
      <c r="K11" s="435" t="str">
        <f t="shared" si="8"/>
        <v>#REF!</v>
      </c>
      <c r="L11" s="435" t="str">
        <f t="shared" si="8"/>
        <v>#REF!</v>
      </c>
      <c r="M11" s="435" t="str">
        <f t="shared" si="8"/>
        <v>#REF!</v>
      </c>
      <c r="N11" s="424"/>
      <c r="O11" s="424"/>
      <c r="P11" s="290"/>
      <c r="Q11" s="428" t="s">
        <v>1181</v>
      </c>
      <c r="R11" s="424" t="s">
        <v>1138</v>
      </c>
      <c r="S11" s="434">
        <v>0.0</v>
      </c>
      <c r="T11" s="434">
        <v>0.03</v>
      </c>
      <c r="U11" s="434">
        <v>0.04</v>
      </c>
      <c r="V11" s="434">
        <v>0.04</v>
      </c>
      <c r="W11" s="434">
        <v>0.04</v>
      </c>
      <c r="X11" s="435"/>
      <c r="Y11" s="435"/>
      <c r="Z11" s="435"/>
      <c r="AA11" s="435"/>
      <c r="AB11" s="435"/>
      <c r="AC11" s="424"/>
      <c r="AD11" s="424"/>
    </row>
    <row r="12" ht="12.75" customHeight="1">
      <c r="A12" s="428" t="s">
        <v>1188</v>
      </c>
      <c r="B12" s="424" t="s">
        <v>1138</v>
      </c>
      <c r="C12" s="424"/>
      <c r="D12" s="434">
        <f t="shared" ref="D12:H12" si="9">S16</f>
        <v>0</v>
      </c>
      <c r="E12" s="434">
        <f t="shared" si="9"/>
        <v>0.2</v>
      </c>
      <c r="F12" s="434">
        <f t="shared" si="9"/>
        <v>0.2</v>
      </c>
      <c r="G12" s="434">
        <f t="shared" si="9"/>
        <v>0.35</v>
      </c>
      <c r="H12" s="434">
        <f t="shared" si="9"/>
        <v>0.5</v>
      </c>
      <c r="I12" s="435"/>
      <c r="J12" s="435"/>
      <c r="K12" s="435"/>
      <c r="L12" s="435"/>
      <c r="M12" s="435"/>
      <c r="N12" s="424"/>
      <c r="O12" s="424"/>
      <c r="P12" s="290"/>
      <c r="Q12" s="428" t="s">
        <v>1189</v>
      </c>
      <c r="R12" s="424" t="s">
        <v>1138</v>
      </c>
      <c r="S12" s="434"/>
      <c r="T12" s="434"/>
      <c r="U12" s="434"/>
      <c r="V12" s="434"/>
      <c r="W12" s="434"/>
      <c r="X12" s="435">
        <v>0.0</v>
      </c>
      <c r="Y12" s="435">
        <v>12.6</v>
      </c>
      <c r="Z12" s="435">
        <v>12.6</v>
      </c>
      <c r="AA12" s="435">
        <v>20.0</v>
      </c>
      <c r="AB12" s="435">
        <v>20.0</v>
      </c>
      <c r="AC12" s="424"/>
      <c r="AD12" s="424"/>
    </row>
    <row r="13" ht="12.75" customHeight="1">
      <c r="A13" s="428" t="s">
        <v>480</v>
      </c>
      <c r="B13" s="424" t="s">
        <v>1130</v>
      </c>
      <c r="C13" s="424"/>
      <c r="D13" s="434"/>
      <c r="E13" s="434"/>
      <c r="F13" s="434"/>
      <c r="G13" s="434"/>
      <c r="H13" s="434"/>
      <c r="I13" s="435"/>
      <c r="J13" s="435"/>
      <c r="K13" s="435"/>
      <c r="L13" s="435"/>
      <c r="M13" s="435"/>
      <c r="N13" s="424"/>
      <c r="O13" s="424">
        <f>AD23</f>
        <v>400</v>
      </c>
      <c r="P13" s="290"/>
      <c r="Q13" s="428" t="s">
        <v>1179</v>
      </c>
      <c r="R13" s="424" t="s">
        <v>1138</v>
      </c>
      <c r="S13" s="434">
        <v>0.0</v>
      </c>
      <c r="T13" s="434">
        <v>0.2</v>
      </c>
      <c r="U13" s="434">
        <v>0.25</v>
      </c>
      <c r="V13" s="434">
        <v>0.4</v>
      </c>
      <c r="W13" s="434">
        <v>0.4</v>
      </c>
      <c r="X13" s="435"/>
      <c r="Y13" s="435"/>
      <c r="Z13" s="435"/>
      <c r="AA13" s="435"/>
      <c r="AB13" s="435"/>
      <c r="AC13" s="424"/>
      <c r="AD13" s="424"/>
    </row>
    <row r="14" ht="12.75" customHeight="1">
      <c r="A14" s="428" t="s">
        <v>1186</v>
      </c>
      <c r="B14" s="424" t="s">
        <v>1138</v>
      </c>
      <c r="C14" s="424"/>
      <c r="D14" s="434">
        <f t="shared" ref="D14:H14" si="10">S10</f>
        <v>0</v>
      </c>
      <c r="E14" s="434">
        <f t="shared" si="10"/>
        <v>0.12</v>
      </c>
      <c r="F14" s="434">
        <f t="shared" si="10"/>
        <v>0.12</v>
      </c>
      <c r="G14" s="434">
        <f t="shared" si="10"/>
        <v>0.14</v>
      </c>
      <c r="H14" s="434">
        <f t="shared" si="10"/>
        <v>0.21</v>
      </c>
      <c r="I14" s="435"/>
      <c r="J14" s="435"/>
      <c r="K14" s="435"/>
      <c r="L14" s="435"/>
      <c r="M14" s="435"/>
      <c r="N14" s="424"/>
      <c r="O14" s="424"/>
      <c r="P14" s="290"/>
      <c r="Q14" s="428" t="s">
        <v>1185</v>
      </c>
      <c r="R14" s="424" t="s">
        <v>1138</v>
      </c>
      <c r="S14" s="434">
        <v>0.0</v>
      </c>
      <c r="T14" s="434">
        <v>0.35</v>
      </c>
      <c r="U14" s="434">
        <v>0.35</v>
      </c>
      <c r="V14" s="434">
        <v>0.35</v>
      </c>
      <c r="W14" s="434">
        <v>0.35</v>
      </c>
      <c r="X14" s="435"/>
      <c r="Y14" s="435"/>
      <c r="Z14" s="435"/>
      <c r="AA14" s="435"/>
      <c r="AB14" s="435"/>
      <c r="AC14" s="424"/>
      <c r="AD14" s="424"/>
    </row>
    <row r="15" ht="12.75" customHeight="1">
      <c r="A15" s="428" t="s">
        <v>1175</v>
      </c>
      <c r="B15" s="424" t="s">
        <v>1138</v>
      </c>
      <c r="C15" s="424"/>
      <c r="D15" s="434">
        <f t="shared" ref="D15:H15" si="11">S6</f>
        <v>0</v>
      </c>
      <c r="E15" s="434">
        <f t="shared" si="11"/>
        <v>0.1</v>
      </c>
      <c r="F15" s="434">
        <f t="shared" si="11"/>
        <v>0.1</v>
      </c>
      <c r="G15" s="434">
        <f t="shared" si="11"/>
        <v>0.11</v>
      </c>
      <c r="H15" s="434">
        <f t="shared" si="11"/>
        <v>0.14</v>
      </c>
      <c r="I15" s="435"/>
      <c r="J15" s="435"/>
      <c r="K15" s="435"/>
      <c r="L15" s="435"/>
      <c r="M15" s="435"/>
      <c r="N15" s="424"/>
      <c r="O15" s="424"/>
      <c r="P15" s="290"/>
      <c r="Q15" s="428" t="s">
        <v>1190</v>
      </c>
      <c r="R15" s="424" t="s">
        <v>1138</v>
      </c>
      <c r="S15" s="434">
        <v>0.0</v>
      </c>
      <c r="T15" s="434">
        <v>0.4</v>
      </c>
      <c r="U15" s="434">
        <v>0.4</v>
      </c>
      <c r="V15" s="434">
        <v>0.6</v>
      </c>
      <c r="W15" s="434">
        <v>0.7</v>
      </c>
      <c r="X15" s="435"/>
      <c r="Y15" s="435"/>
      <c r="Z15" s="435"/>
      <c r="AA15" s="435"/>
      <c r="AB15" s="435"/>
      <c r="AC15" s="424"/>
      <c r="AD15" s="424"/>
    </row>
    <row r="16" ht="12.75" customHeight="1">
      <c r="A16" s="428" t="s">
        <v>1191</v>
      </c>
      <c r="B16" s="424" t="s">
        <v>1138</v>
      </c>
      <c r="C16" s="424"/>
      <c r="D16" s="434"/>
      <c r="E16" s="434"/>
      <c r="F16" s="434"/>
      <c r="G16" s="434"/>
      <c r="H16" s="434"/>
      <c r="I16" s="435">
        <f t="shared" ref="I16:M16" si="12">X12</f>
        <v>0</v>
      </c>
      <c r="J16" s="435">
        <f t="shared" si="12"/>
        <v>12.6</v>
      </c>
      <c r="K16" s="435">
        <f t="shared" si="12"/>
        <v>12.6</v>
      </c>
      <c r="L16" s="435">
        <f t="shared" si="12"/>
        <v>20</v>
      </c>
      <c r="M16" s="435">
        <f t="shared" si="12"/>
        <v>20</v>
      </c>
      <c r="N16" s="424"/>
      <c r="O16" s="424"/>
      <c r="P16" s="290"/>
      <c r="Q16" s="428" t="s">
        <v>1188</v>
      </c>
      <c r="R16" s="424" t="s">
        <v>1138</v>
      </c>
      <c r="S16" s="434">
        <v>0.0</v>
      </c>
      <c r="T16" s="434">
        <v>0.2</v>
      </c>
      <c r="U16" s="434">
        <v>0.2</v>
      </c>
      <c r="V16" s="434">
        <v>0.35</v>
      </c>
      <c r="W16" s="434">
        <v>0.5</v>
      </c>
      <c r="X16" s="435"/>
      <c r="Y16" s="435"/>
      <c r="Z16" s="435"/>
      <c r="AA16" s="435"/>
      <c r="AB16" s="435"/>
      <c r="AC16" s="424"/>
      <c r="AD16" s="424"/>
    </row>
    <row r="17" ht="12.75" customHeight="1">
      <c r="A17" s="428" t="s">
        <v>1192</v>
      </c>
      <c r="B17" s="424" t="s">
        <v>1130</v>
      </c>
      <c r="C17" s="424"/>
      <c r="D17" s="434"/>
      <c r="E17" s="434"/>
      <c r="F17" s="434"/>
      <c r="G17" s="434"/>
      <c r="H17" s="434"/>
      <c r="I17" s="435"/>
      <c r="J17" s="435"/>
      <c r="K17" s="435"/>
      <c r="L17" s="435"/>
      <c r="M17" s="435"/>
      <c r="N17" s="424"/>
      <c r="O17" s="424">
        <f>AD24</f>
        <v>0</v>
      </c>
      <c r="P17" s="290"/>
      <c r="Q17" s="428" t="s">
        <v>1193</v>
      </c>
      <c r="R17" s="424" t="s">
        <v>1138</v>
      </c>
      <c r="S17" s="434"/>
      <c r="T17" s="434"/>
      <c r="U17" s="434"/>
      <c r="V17" s="434"/>
      <c r="W17" s="434"/>
      <c r="X17" s="435">
        <v>0.0</v>
      </c>
      <c r="Y17" s="435">
        <v>0.0</v>
      </c>
      <c r="Z17" s="435">
        <v>7.0</v>
      </c>
      <c r="AA17" s="435">
        <v>7.0</v>
      </c>
      <c r="AB17" s="435">
        <v>21.0</v>
      </c>
      <c r="AC17" s="424"/>
      <c r="AD17" s="424"/>
    </row>
    <row r="18" ht="12.75" customHeight="1">
      <c r="A18" s="428" t="s">
        <v>1190</v>
      </c>
      <c r="B18" s="424" t="s">
        <v>1138</v>
      </c>
      <c r="C18" s="424"/>
      <c r="D18" s="434">
        <f t="shared" ref="D18:H18" si="13">S15</f>
        <v>0</v>
      </c>
      <c r="E18" s="434">
        <f t="shared" si="13"/>
        <v>0.4</v>
      </c>
      <c r="F18" s="434">
        <f t="shared" si="13"/>
        <v>0.4</v>
      </c>
      <c r="G18" s="434">
        <f t="shared" si="13"/>
        <v>0.6</v>
      </c>
      <c r="H18" s="434">
        <f t="shared" si="13"/>
        <v>0.7</v>
      </c>
      <c r="I18" s="435"/>
      <c r="J18" s="435"/>
      <c r="K18" s="435"/>
      <c r="L18" s="435"/>
      <c r="M18" s="435"/>
      <c r="N18" s="424"/>
      <c r="O18" s="424"/>
      <c r="P18" s="290"/>
      <c r="Q18" s="428" t="s">
        <v>1143</v>
      </c>
      <c r="R18" s="424" t="s">
        <v>1130</v>
      </c>
      <c r="S18" s="434">
        <v>0.0</v>
      </c>
      <c r="T18" s="434">
        <v>0.0</v>
      </c>
      <c r="U18" s="434">
        <v>0.1</v>
      </c>
      <c r="V18" s="434">
        <v>0.15</v>
      </c>
      <c r="W18" s="434">
        <v>0.2</v>
      </c>
      <c r="X18" s="435">
        <v>0.0</v>
      </c>
      <c r="Y18" s="435">
        <v>0.0</v>
      </c>
      <c r="Z18" s="435">
        <v>2.5</v>
      </c>
      <c r="AA18" s="434">
        <v>3.75</v>
      </c>
      <c r="AB18" s="435">
        <v>5.0</v>
      </c>
      <c r="AC18" s="424"/>
      <c r="AD18" s="424"/>
    </row>
    <row r="19" ht="12.75" customHeight="1">
      <c r="A19" s="428" t="s">
        <v>1180</v>
      </c>
      <c r="B19" s="424" t="s">
        <v>1138</v>
      </c>
      <c r="C19" s="424"/>
      <c r="D19" s="434">
        <f t="shared" ref="D19:H19" si="14">S7</f>
        <v>0</v>
      </c>
      <c r="E19" s="434">
        <f t="shared" si="14"/>
        <v>0.1</v>
      </c>
      <c r="F19" s="434">
        <f t="shared" si="14"/>
        <v>0.1</v>
      </c>
      <c r="G19" s="434">
        <f t="shared" si="14"/>
        <v>0.11</v>
      </c>
      <c r="H19" s="434">
        <f t="shared" si="14"/>
        <v>0.14</v>
      </c>
      <c r="I19" s="435"/>
      <c r="J19" s="435"/>
      <c r="K19" s="435"/>
      <c r="L19" s="435"/>
      <c r="M19" s="435"/>
      <c r="N19" s="424"/>
      <c r="O19" s="424"/>
      <c r="P19" s="290"/>
      <c r="Q19" s="428" t="s">
        <v>1128</v>
      </c>
      <c r="R19" s="424" t="s">
        <v>1130</v>
      </c>
      <c r="S19" s="434"/>
      <c r="T19" s="434"/>
      <c r="U19" s="434"/>
      <c r="V19" s="434"/>
      <c r="W19" s="434"/>
      <c r="X19" s="435"/>
      <c r="Y19" s="435"/>
      <c r="Z19" s="435"/>
      <c r="AA19" s="435"/>
      <c r="AB19" s="435"/>
      <c r="AC19" s="424">
        <v>135.0</v>
      </c>
      <c r="AD19" s="424">
        <v>45.0</v>
      </c>
    </row>
    <row r="20" ht="12.75" customHeight="1">
      <c r="A20" s="428" t="s">
        <v>1184</v>
      </c>
      <c r="B20" s="424" t="s">
        <v>1138</v>
      </c>
      <c r="C20" s="424"/>
      <c r="D20" s="434">
        <f t="shared" ref="D20:H20" si="15">S9</f>
        <v>0</v>
      </c>
      <c r="E20" s="434">
        <f t="shared" si="15"/>
        <v>0.6</v>
      </c>
      <c r="F20" s="434">
        <f t="shared" si="15"/>
        <v>0.7</v>
      </c>
      <c r="G20" s="434">
        <f t="shared" si="15"/>
        <v>0.7</v>
      </c>
      <c r="H20" s="434">
        <f t="shared" si="15"/>
        <v>0.7</v>
      </c>
      <c r="I20" s="435"/>
      <c r="J20" s="435"/>
      <c r="K20" s="435"/>
      <c r="L20" s="435"/>
      <c r="M20" s="435"/>
      <c r="N20" s="424"/>
      <c r="O20" s="424"/>
      <c r="P20" s="290"/>
      <c r="Q20" s="428" t="s">
        <v>1168</v>
      </c>
      <c r="R20" s="424" t="s">
        <v>1130</v>
      </c>
      <c r="S20" s="434">
        <v>0.0</v>
      </c>
      <c r="T20" s="434">
        <v>0.5</v>
      </c>
      <c r="U20" s="434">
        <v>0.5</v>
      </c>
      <c r="V20" s="434">
        <v>0.5</v>
      </c>
      <c r="W20" s="434">
        <v>0.5</v>
      </c>
      <c r="X20" s="435"/>
      <c r="Y20" s="435"/>
      <c r="Z20" s="435"/>
      <c r="AA20" s="435"/>
      <c r="AB20" s="435"/>
      <c r="AC20" s="424"/>
      <c r="AD20" s="424"/>
    </row>
    <row r="21" ht="12.75" customHeight="1">
      <c r="A21" s="428" t="s">
        <v>1193</v>
      </c>
      <c r="B21" s="424" t="s">
        <v>1138</v>
      </c>
      <c r="C21" s="424"/>
      <c r="D21" s="434"/>
      <c r="E21" s="434"/>
      <c r="F21" s="434"/>
      <c r="G21" s="434"/>
      <c r="H21" s="434"/>
      <c r="I21" s="435">
        <f t="shared" ref="I21:M21" si="16">X17</f>
        <v>0</v>
      </c>
      <c r="J21" s="435">
        <f t="shared" si="16"/>
        <v>0</v>
      </c>
      <c r="K21" s="435">
        <f t="shared" si="16"/>
        <v>7</v>
      </c>
      <c r="L21" s="435">
        <f t="shared" si="16"/>
        <v>7</v>
      </c>
      <c r="M21" s="435">
        <f t="shared" si="16"/>
        <v>21</v>
      </c>
      <c r="N21" s="424"/>
      <c r="O21" s="424"/>
      <c r="P21" s="290"/>
      <c r="Q21" s="428" t="s">
        <v>1183</v>
      </c>
      <c r="R21" s="424" t="s">
        <v>1130</v>
      </c>
      <c r="S21" s="434">
        <v>0.0</v>
      </c>
      <c r="T21" s="434">
        <v>0.35</v>
      </c>
      <c r="U21" s="434">
        <v>0.35</v>
      </c>
      <c r="V21" s="434">
        <v>0.35</v>
      </c>
      <c r="W21" s="434">
        <v>0.35</v>
      </c>
      <c r="X21" s="435"/>
      <c r="Y21" s="435"/>
      <c r="Z21" s="435"/>
      <c r="AA21" s="435"/>
      <c r="AB21" s="435"/>
      <c r="AC21" s="424"/>
      <c r="AD21" s="424"/>
    </row>
    <row r="22" ht="12.75" customHeight="1">
      <c r="A22" s="428" t="s">
        <v>1194</v>
      </c>
      <c r="B22" s="424" t="s">
        <v>1138</v>
      </c>
      <c r="C22" s="424"/>
      <c r="D22" s="434">
        <f t="shared" ref="D22:H22" si="17">S3</f>
        <v>0</v>
      </c>
      <c r="E22" s="434">
        <f t="shared" si="17"/>
        <v>0.03</v>
      </c>
      <c r="F22" s="434">
        <f t="shared" si="17"/>
        <v>0.04</v>
      </c>
      <c r="G22" s="434">
        <f t="shared" si="17"/>
        <v>0.05</v>
      </c>
      <c r="H22" s="434">
        <f t="shared" si="17"/>
        <v>0.05</v>
      </c>
      <c r="I22" s="435"/>
      <c r="J22" s="435"/>
      <c r="K22" s="435"/>
      <c r="L22" s="435"/>
      <c r="M22" s="435"/>
      <c r="N22" s="424"/>
      <c r="O22" s="424"/>
      <c r="P22" s="290"/>
      <c r="Q22" s="428" t="s">
        <v>1156</v>
      </c>
      <c r="R22" s="424" t="s">
        <v>1130</v>
      </c>
      <c r="S22" s="434"/>
      <c r="T22" s="434"/>
      <c r="U22" s="434"/>
      <c r="V22" s="434"/>
      <c r="W22" s="434"/>
      <c r="X22" s="435"/>
      <c r="Y22" s="435"/>
      <c r="Z22" s="435"/>
      <c r="AA22" s="435"/>
      <c r="AB22" s="435"/>
      <c r="AC22" s="424"/>
      <c r="AD22" s="424">
        <v>200.0</v>
      </c>
    </row>
    <row r="23" ht="12.75" customHeight="1">
      <c r="A23" s="428" t="s">
        <v>1162</v>
      </c>
      <c r="B23" s="424" t="s">
        <v>1138</v>
      </c>
      <c r="C23" s="424"/>
      <c r="D23" s="434">
        <f t="shared" ref="D23:H23" si="18">S5</f>
        <v>0</v>
      </c>
      <c r="E23" s="434">
        <f t="shared" si="18"/>
        <v>0.1</v>
      </c>
      <c r="F23" s="434">
        <f t="shared" si="18"/>
        <v>0.1</v>
      </c>
      <c r="G23" s="434">
        <f t="shared" si="18"/>
        <v>0.11</v>
      </c>
      <c r="H23" s="434">
        <f t="shared" si="18"/>
        <v>0.14</v>
      </c>
      <c r="I23" s="435"/>
      <c r="J23" s="435"/>
      <c r="K23" s="435"/>
      <c r="L23" s="435"/>
      <c r="M23" s="435"/>
      <c r="N23" s="424"/>
      <c r="O23" s="424"/>
      <c r="P23" s="290"/>
      <c r="Q23" s="428" t="s">
        <v>480</v>
      </c>
      <c r="R23" s="424" t="s">
        <v>1130</v>
      </c>
      <c r="S23" s="434"/>
      <c r="T23" s="434"/>
      <c r="U23" s="434"/>
      <c r="V23" s="434"/>
      <c r="W23" s="434"/>
      <c r="X23" s="435"/>
      <c r="Y23" s="435"/>
      <c r="Z23" s="435"/>
      <c r="AA23" s="435"/>
      <c r="AB23" s="435"/>
      <c r="AC23" s="424"/>
      <c r="AD23" s="424">
        <v>400.0</v>
      </c>
    </row>
    <row r="24" ht="12.75" customHeight="1">
      <c r="A24" s="428" t="s">
        <v>1150</v>
      </c>
      <c r="B24" s="424" t="s">
        <v>1138</v>
      </c>
      <c r="C24" s="424"/>
      <c r="D24" s="434"/>
      <c r="E24" s="434"/>
      <c r="F24" s="434"/>
      <c r="G24" s="434"/>
      <c r="H24" s="434"/>
      <c r="I24" s="435">
        <f t="shared" ref="I24:M24" si="19">X4</f>
        <v>0</v>
      </c>
      <c r="J24" s="435">
        <f t="shared" si="19"/>
        <v>0.5</v>
      </c>
      <c r="K24" s="435">
        <f t="shared" si="19"/>
        <v>0.5</v>
      </c>
      <c r="L24" s="435">
        <f t="shared" si="19"/>
        <v>0.6</v>
      </c>
      <c r="M24" s="435">
        <f t="shared" si="19"/>
        <v>0.7</v>
      </c>
      <c r="N24" s="424"/>
      <c r="O24" s="424"/>
      <c r="P24" s="290"/>
      <c r="Q24" s="428" t="s">
        <v>1192</v>
      </c>
      <c r="R24" s="424" t="s">
        <v>1130</v>
      </c>
      <c r="S24" s="434"/>
      <c r="T24" s="434"/>
      <c r="U24" s="434"/>
      <c r="V24" s="434"/>
      <c r="W24" s="434"/>
      <c r="X24" s="435"/>
      <c r="Y24" s="435"/>
      <c r="Z24" s="435"/>
      <c r="AA24" s="435"/>
      <c r="AB24" s="435"/>
      <c r="AC24" s="424"/>
      <c r="AD24" s="424">
        <v>0.0</v>
      </c>
    </row>
    <row r="25" ht="12.75" customHeight="1">
      <c r="A25" s="437"/>
      <c r="B25" s="427"/>
      <c r="C25" s="427"/>
      <c r="D25" s="438"/>
      <c r="E25" s="438"/>
      <c r="F25" s="438"/>
      <c r="G25" s="438"/>
      <c r="H25" s="438"/>
      <c r="I25" s="439"/>
      <c r="J25" s="439"/>
      <c r="K25" s="439"/>
      <c r="L25" s="439"/>
      <c r="M25" s="439"/>
      <c r="N25" s="427"/>
      <c r="O25" s="427"/>
      <c r="P25" s="290"/>
      <c r="Q25" s="290"/>
      <c r="R25" s="290"/>
      <c r="S25" s="290"/>
      <c r="T25" s="290"/>
      <c r="U25" s="290"/>
      <c r="V25" s="290"/>
      <c r="W25" s="290"/>
      <c r="X25" s="290"/>
      <c r="Y25" s="290"/>
      <c r="Z25" s="290"/>
      <c r="AA25" s="290"/>
      <c r="AB25" s="290"/>
      <c r="AC25" s="290"/>
      <c r="AD25" s="290"/>
    </row>
    <row r="26" ht="12.75" customHeight="1">
      <c r="A26" s="437"/>
      <c r="B26" s="427"/>
      <c r="C26" s="427"/>
      <c r="D26" s="438"/>
      <c r="E26" s="438"/>
      <c r="F26" s="438"/>
      <c r="G26" s="438"/>
      <c r="H26" s="438"/>
      <c r="I26" s="439"/>
      <c r="J26" s="439"/>
      <c r="K26" s="439"/>
      <c r="L26" s="439"/>
      <c r="M26" s="439"/>
      <c r="N26" s="427"/>
      <c r="O26" s="427"/>
      <c r="P26" s="290"/>
      <c r="Q26" s="290"/>
      <c r="R26" s="290"/>
      <c r="S26" s="290"/>
      <c r="T26" s="290"/>
      <c r="U26" s="290"/>
      <c r="V26" s="290"/>
      <c r="W26" s="290"/>
      <c r="X26" s="290"/>
      <c r="Y26" s="290"/>
      <c r="Z26" s="290"/>
      <c r="AA26" s="290"/>
      <c r="AB26" s="290"/>
      <c r="AC26" s="290"/>
      <c r="AD26" s="290"/>
    </row>
    <row r="27" ht="12.75" customHeight="1">
      <c r="A27" s="437"/>
      <c r="B27" s="427"/>
      <c r="C27" s="427"/>
      <c r="D27" s="438"/>
      <c r="E27" s="438"/>
      <c r="F27" s="438"/>
      <c r="G27" s="438"/>
      <c r="H27" s="438"/>
      <c r="I27" s="439"/>
      <c r="J27" s="439"/>
      <c r="K27" s="439"/>
      <c r="L27" s="439"/>
      <c r="M27" s="439"/>
      <c r="N27" s="427"/>
      <c r="O27" s="427"/>
      <c r="P27" s="290"/>
      <c r="Q27" s="290"/>
      <c r="R27" s="290"/>
      <c r="S27" s="290"/>
      <c r="T27" s="290"/>
      <c r="U27" s="290"/>
      <c r="V27" s="290"/>
      <c r="W27" s="290"/>
      <c r="X27" s="290"/>
      <c r="Y27" s="290"/>
      <c r="Z27" s="290"/>
      <c r="AA27" s="290"/>
      <c r="AB27" s="290"/>
      <c r="AC27" s="290"/>
      <c r="AD27" s="290"/>
    </row>
    <row r="28" ht="12.75" customHeight="1">
      <c r="A28" s="437"/>
      <c r="B28" s="427"/>
      <c r="C28" s="427"/>
      <c r="D28" s="438"/>
      <c r="E28" s="438"/>
      <c r="F28" s="438"/>
      <c r="G28" s="438"/>
      <c r="H28" s="438"/>
      <c r="I28" s="439"/>
      <c r="J28" s="439"/>
      <c r="K28" s="439"/>
      <c r="L28" s="439"/>
      <c r="M28" s="439"/>
      <c r="N28" s="427"/>
      <c r="O28" s="427"/>
      <c r="P28" s="290"/>
      <c r="Q28" s="290"/>
      <c r="R28" s="290"/>
      <c r="S28" s="290"/>
      <c r="T28" s="290"/>
      <c r="U28" s="290"/>
      <c r="V28" s="290"/>
      <c r="W28" s="290"/>
      <c r="X28" s="290"/>
      <c r="Y28" s="290"/>
      <c r="Z28" s="290"/>
      <c r="AA28" s="290"/>
      <c r="AB28" s="290"/>
      <c r="AC28" s="290"/>
      <c r="AD28" s="290"/>
    </row>
    <row r="29" ht="12.75" customHeight="1">
      <c r="A29" s="437"/>
      <c r="B29" s="427"/>
      <c r="C29" s="427"/>
      <c r="D29" s="438"/>
      <c r="E29" s="438"/>
      <c r="F29" s="438"/>
      <c r="G29" s="438"/>
      <c r="H29" s="438"/>
      <c r="I29" s="439"/>
      <c r="J29" s="439"/>
      <c r="K29" s="439"/>
      <c r="L29" s="439"/>
      <c r="M29" s="439"/>
      <c r="N29" s="427"/>
      <c r="O29" s="427"/>
      <c r="P29" s="290"/>
      <c r="Q29" s="290"/>
      <c r="R29" s="290"/>
      <c r="S29" s="290"/>
      <c r="T29" s="290"/>
      <c r="U29" s="290"/>
      <c r="V29" s="290"/>
      <c r="W29" s="290"/>
      <c r="X29" s="290"/>
      <c r="Y29" s="290"/>
      <c r="Z29" s="290"/>
      <c r="AA29" s="290"/>
      <c r="AB29" s="290"/>
      <c r="AC29" s="290"/>
      <c r="AD29" s="290"/>
    </row>
    <row r="30" ht="12.75" customHeight="1">
      <c r="A30" s="437"/>
      <c r="B30" s="427"/>
      <c r="C30" s="427"/>
      <c r="D30" s="438"/>
      <c r="E30" s="438"/>
      <c r="F30" s="438"/>
      <c r="G30" s="438"/>
      <c r="H30" s="438"/>
      <c r="I30" s="439"/>
      <c r="J30" s="439"/>
      <c r="K30" s="439"/>
      <c r="L30" s="439"/>
      <c r="M30" s="439"/>
      <c r="N30" s="427"/>
      <c r="O30" s="427"/>
      <c r="P30" s="290"/>
      <c r="Q30" s="290"/>
      <c r="R30" s="290"/>
      <c r="S30" s="290"/>
      <c r="T30" s="290"/>
      <c r="U30" s="290"/>
      <c r="V30" s="290"/>
      <c r="W30" s="290"/>
      <c r="X30" s="290"/>
      <c r="Y30" s="290"/>
      <c r="Z30" s="290"/>
      <c r="AA30" s="290"/>
      <c r="AB30" s="290"/>
      <c r="AC30" s="290"/>
      <c r="AD30" s="290"/>
    </row>
    <row r="31" ht="12.75" customHeight="1">
      <c r="A31" s="437"/>
      <c r="B31" s="427"/>
      <c r="C31" s="427"/>
      <c r="D31" s="438"/>
      <c r="E31" s="438"/>
      <c r="F31" s="438"/>
      <c r="G31" s="438"/>
      <c r="H31" s="438"/>
      <c r="I31" s="439"/>
      <c r="J31" s="439"/>
      <c r="K31" s="439"/>
      <c r="L31" s="439"/>
      <c r="M31" s="439"/>
      <c r="N31" s="427"/>
      <c r="O31" s="427"/>
      <c r="P31" s="290"/>
      <c r="Q31" s="290"/>
      <c r="R31" s="290"/>
      <c r="S31" s="290"/>
      <c r="T31" s="290"/>
      <c r="U31" s="290"/>
      <c r="V31" s="290"/>
      <c r="W31" s="290"/>
      <c r="X31" s="290"/>
      <c r="Y31" s="290"/>
      <c r="Z31" s="290"/>
      <c r="AA31" s="290"/>
      <c r="AB31" s="290"/>
      <c r="AC31" s="290"/>
      <c r="AD31" s="290"/>
    </row>
    <row r="32" ht="12.75" customHeight="1">
      <c r="A32" s="437"/>
      <c r="B32" s="427"/>
      <c r="C32" s="427"/>
      <c r="D32" s="438"/>
      <c r="E32" s="438"/>
      <c r="F32" s="438"/>
      <c r="G32" s="438"/>
      <c r="H32" s="438"/>
      <c r="I32" s="439"/>
      <c r="J32" s="439"/>
      <c r="K32" s="439"/>
      <c r="L32" s="439"/>
      <c r="M32" s="439"/>
      <c r="N32" s="427"/>
      <c r="O32" s="427"/>
      <c r="P32" s="290"/>
      <c r="Q32" s="290"/>
      <c r="R32" s="290"/>
      <c r="S32" s="290"/>
      <c r="T32" s="290"/>
      <c r="U32" s="290"/>
      <c r="V32" s="290"/>
      <c r="W32" s="290"/>
      <c r="X32" s="290"/>
      <c r="Y32" s="290"/>
      <c r="Z32" s="290"/>
      <c r="AA32" s="290"/>
      <c r="AB32" s="290"/>
      <c r="AC32" s="290"/>
      <c r="AD32" s="290"/>
    </row>
    <row r="33" ht="12.75" customHeight="1">
      <c r="A33" s="437"/>
      <c r="B33" s="427"/>
      <c r="C33" s="427"/>
      <c r="D33" s="438"/>
      <c r="E33" s="438"/>
      <c r="F33" s="438"/>
      <c r="G33" s="438"/>
      <c r="H33" s="438"/>
      <c r="I33" s="439"/>
      <c r="J33" s="439"/>
      <c r="K33" s="439"/>
      <c r="L33" s="439"/>
      <c r="M33" s="439"/>
      <c r="N33" s="427"/>
      <c r="O33" s="427"/>
      <c r="P33" s="290"/>
      <c r="Q33" s="290"/>
      <c r="R33" s="290"/>
      <c r="S33" s="290"/>
      <c r="T33" s="290"/>
      <c r="U33" s="290"/>
      <c r="V33" s="290"/>
      <c r="W33" s="290"/>
      <c r="X33" s="290"/>
      <c r="Y33" s="290"/>
      <c r="Z33" s="290"/>
      <c r="AA33" s="290"/>
      <c r="AB33" s="290"/>
      <c r="AC33" s="290"/>
      <c r="AD33" s="290"/>
    </row>
    <row r="34" ht="12.75" customHeight="1">
      <c r="A34" s="437"/>
      <c r="B34" s="427"/>
      <c r="C34" s="427"/>
      <c r="D34" s="438"/>
      <c r="E34" s="438"/>
      <c r="F34" s="438"/>
      <c r="G34" s="438"/>
      <c r="H34" s="438"/>
      <c r="I34" s="439"/>
      <c r="J34" s="439"/>
      <c r="K34" s="439"/>
      <c r="L34" s="439"/>
      <c r="M34" s="439"/>
      <c r="N34" s="427"/>
      <c r="O34" s="427"/>
      <c r="P34" s="290"/>
      <c r="Q34" s="290"/>
      <c r="R34" s="290"/>
      <c r="S34" s="290"/>
      <c r="T34" s="290"/>
      <c r="U34" s="290"/>
      <c r="V34" s="290"/>
      <c r="W34" s="290"/>
      <c r="X34" s="290"/>
      <c r="Y34" s="290"/>
      <c r="Z34" s="290"/>
      <c r="AA34" s="290"/>
      <c r="AB34" s="290"/>
      <c r="AC34" s="290"/>
      <c r="AD34" s="290"/>
    </row>
    <row r="35" ht="12.75" customHeight="1">
      <c r="A35" s="437"/>
      <c r="B35" s="427"/>
      <c r="C35" s="427"/>
      <c r="D35" s="438"/>
      <c r="E35" s="438"/>
      <c r="F35" s="438"/>
      <c r="G35" s="438"/>
      <c r="H35" s="438"/>
      <c r="I35" s="439"/>
      <c r="J35" s="439"/>
      <c r="K35" s="439"/>
      <c r="L35" s="439"/>
      <c r="M35" s="439"/>
      <c r="N35" s="427"/>
      <c r="O35" s="427"/>
      <c r="P35" s="290"/>
      <c r="Q35" s="290"/>
      <c r="R35" s="290"/>
      <c r="S35" s="290"/>
      <c r="T35" s="290"/>
      <c r="U35" s="290"/>
      <c r="V35" s="290"/>
      <c r="W35" s="290"/>
      <c r="X35" s="290"/>
      <c r="Y35" s="290"/>
      <c r="Z35" s="290"/>
      <c r="AA35" s="290"/>
      <c r="AB35" s="290"/>
      <c r="AC35" s="290"/>
      <c r="AD35" s="290"/>
    </row>
    <row r="36" ht="12.75" customHeight="1">
      <c r="A36" s="437"/>
      <c r="B36" s="427"/>
      <c r="C36" s="427"/>
      <c r="D36" s="438"/>
      <c r="E36" s="438"/>
      <c r="F36" s="438"/>
      <c r="G36" s="438"/>
      <c r="H36" s="438"/>
      <c r="I36" s="439"/>
      <c r="J36" s="439"/>
      <c r="K36" s="439"/>
      <c r="L36" s="439"/>
      <c r="M36" s="439"/>
      <c r="N36" s="427"/>
      <c r="O36" s="427"/>
      <c r="P36" s="290"/>
      <c r="Q36" s="290"/>
      <c r="R36" s="290"/>
      <c r="S36" s="290"/>
      <c r="T36" s="290"/>
      <c r="U36" s="290"/>
      <c r="V36" s="290"/>
      <c r="W36" s="290"/>
      <c r="X36" s="290"/>
      <c r="Y36" s="290"/>
      <c r="Z36" s="290"/>
      <c r="AA36" s="290"/>
      <c r="AB36" s="290"/>
      <c r="AC36" s="290"/>
      <c r="AD36" s="290"/>
    </row>
    <row r="37" ht="12.75" customHeight="1">
      <c r="A37" s="437"/>
      <c r="B37" s="427"/>
      <c r="C37" s="427"/>
      <c r="D37" s="438"/>
      <c r="E37" s="438"/>
      <c r="F37" s="438"/>
      <c r="G37" s="438"/>
      <c r="H37" s="438"/>
      <c r="I37" s="439"/>
      <c r="J37" s="439"/>
      <c r="K37" s="439"/>
      <c r="L37" s="439"/>
      <c r="M37" s="439"/>
      <c r="N37" s="427"/>
      <c r="O37" s="427"/>
      <c r="P37" s="290"/>
      <c r="Q37" s="290"/>
      <c r="R37" s="290"/>
      <c r="S37" s="290"/>
      <c r="T37" s="290"/>
      <c r="U37" s="290"/>
      <c r="V37" s="290"/>
      <c r="W37" s="290"/>
      <c r="X37" s="290"/>
      <c r="Y37" s="290"/>
      <c r="Z37" s="290"/>
      <c r="AA37" s="290"/>
      <c r="AB37" s="290"/>
      <c r="AC37" s="290"/>
      <c r="AD37" s="290"/>
    </row>
    <row r="38" ht="12.75" customHeight="1">
      <c r="A38" s="437"/>
      <c r="B38" s="427"/>
      <c r="C38" s="427"/>
      <c r="D38" s="438"/>
      <c r="E38" s="438"/>
      <c r="F38" s="438"/>
      <c r="G38" s="438"/>
      <c r="H38" s="438"/>
      <c r="I38" s="439"/>
      <c r="J38" s="439"/>
      <c r="K38" s="439"/>
      <c r="L38" s="439"/>
      <c r="M38" s="439"/>
      <c r="N38" s="427"/>
      <c r="O38" s="427"/>
      <c r="P38" s="290"/>
      <c r="Q38" s="290"/>
      <c r="R38" s="290"/>
      <c r="S38" s="290"/>
      <c r="T38" s="290"/>
      <c r="U38" s="290"/>
      <c r="V38" s="290"/>
      <c r="W38" s="290"/>
      <c r="X38" s="290"/>
      <c r="Y38" s="290"/>
      <c r="Z38" s="290"/>
      <c r="AA38" s="290"/>
      <c r="AB38" s="290"/>
      <c r="AC38" s="290"/>
      <c r="AD38" s="290"/>
    </row>
    <row r="39" ht="12.75" customHeight="1">
      <c r="A39" s="437"/>
      <c r="B39" s="427"/>
      <c r="C39" s="427"/>
      <c r="D39" s="438"/>
      <c r="E39" s="438"/>
      <c r="F39" s="438"/>
      <c r="G39" s="438"/>
      <c r="H39" s="438"/>
      <c r="I39" s="439"/>
      <c r="J39" s="439"/>
      <c r="K39" s="439"/>
      <c r="L39" s="439"/>
      <c r="M39" s="439"/>
      <c r="N39" s="427"/>
      <c r="O39" s="427"/>
      <c r="P39" s="290"/>
      <c r="Q39" s="290"/>
      <c r="R39" s="290"/>
      <c r="S39" s="290"/>
      <c r="T39" s="290"/>
      <c r="U39" s="290"/>
      <c r="V39" s="290"/>
      <c r="W39" s="290"/>
      <c r="X39" s="290"/>
      <c r="Y39" s="290"/>
      <c r="Z39" s="290"/>
      <c r="AA39" s="290"/>
      <c r="AB39" s="290"/>
      <c r="AC39" s="290"/>
      <c r="AD39" s="290"/>
    </row>
    <row r="40" ht="12.75" customHeight="1">
      <c r="A40" s="437"/>
      <c r="B40" s="427"/>
      <c r="C40" s="427"/>
      <c r="D40" s="438"/>
      <c r="E40" s="438"/>
      <c r="F40" s="438"/>
      <c r="G40" s="438"/>
      <c r="H40" s="438"/>
      <c r="I40" s="439"/>
      <c r="J40" s="439"/>
      <c r="K40" s="439"/>
      <c r="L40" s="439"/>
      <c r="M40" s="439"/>
      <c r="N40" s="427"/>
      <c r="O40" s="427"/>
      <c r="P40" s="290"/>
      <c r="Q40" s="290"/>
      <c r="R40" s="290"/>
      <c r="S40" s="290"/>
      <c r="T40" s="290"/>
      <c r="U40" s="290"/>
      <c r="V40" s="290"/>
      <c r="W40" s="290"/>
      <c r="X40" s="290"/>
      <c r="Y40" s="290"/>
      <c r="Z40" s="290"/>
      <c r="AA40" s="290"/>
      <c r="AB40" s="290"/>
      <c r="AC40" s="290"/>
      <c r="AD40" s="290"/>
    </row>
    <row r="41" ht="12.75" customHeight="1">
      <c r="A41" s="437"/>
      <c r="B41" s="427"/>
      <c r="C41" s="427"/>
      <c r="D41" s="438"/>
      <c r="E41" s="438"/>
      <c r="F41" s="438"/>
      <c r="G41" s="438"/>
      <c r="H41" s="438"/>
      <c r="I41" s="439"/>
      <c r="J41" s="439"/>
      <c r="K41" s="439"/>
      <c r="L41" s="439"/>
      <c r="M41" s="439"/>
      <c r="N41" s="427"/>
      <c r="O41" s="427"/>
      <c r="P41" s="290"/>
      <c r="Q41" s="290"/>
      <c r="R41" s="290"/>
      <c r="S41" s="290"/>
      <c r="T41" s="290"/>
      <c r="U41" s="290"/>
      <c r="V41" s="290"/>
      <c r="W41" s="290"/>
      <c r="X41" s="290"/>
      <c r="Y41" s="290"/>
      <c r="Z41" s="290"/>
      <c r="AA41" s="290"/>
      <c r="AB41" s="290"/>
      <c r="AC41" s="290"/>
      <c r="AD41" s="290"/>
    </row>
    <row r="42" ht="12.75" customHeight="1">
      <c r="A42" s="437"/>
      <c r="B42" s="427"/>
      <c r="C42" s="427"/>
      <c r="D42" s="438"/>
      <c r="E42" s="438"/>
      <c r="F42" s="438"/>
      <c r="G42" s="438"/>
      <c r="H42" s="438"/>
      <c r="I42" s="439"/>
      <c r="J42" s="439"/>
      <c r="K42" s="439"/>
      <c r="L42" s="439"/>
      <c r="M42" s="439"/>
      <c r="N42" s="427"/>
      <c r="O42" s="427"/>
      <c r="P42" s="290"/>
      <c r="Q42" s="290"/>
      <c r="R42" s="290"/>
      <c r="S42" s="290"/>
      <c r="T42" s="290"/>
      <c r="U42" s="290"/>
      <c r="V42" s="290"/>
      <c r="W42" s="290"/>
      <c r="X42" s="290"/>
      <c r="Y42" s="290"/>
      <c r="Z42" s="290"/>
      <c r="AA42" s="290"/>
      <c r="AB42" s="290"/>
      <c r="AC42" s="290"/>
      <c r="AD42" s="290"/>
    </row>
    <row r="43" ht="12.75" customHeight="1">
      <c r="A43" s="437"/>
      <c r="B43" s="427"/>
      <c r="C43" s="427"/>
      <c r="D43" s="438"/>
      <c r="E43" s="438"/>
      <c r="F43" s="438"/>
      <c r="G43" s="438"/>
      <c r="H43" s="438"/>
      <c r="I43" s="439"/>
      <c r="J43" s="439"/>
      <c r="K43" s="439"/>
      <c r="L43" s="439"/>
      <c r="M43" s="439"/>
      <c r="N43" s="427"/>
      <c r="O43" s="427"/>
      <c r="P43" s="290"/>
      <c r="Q43" s="290"/>
      <c r="R43" s="290"/>
      <c r="S43" s="290"/>
      <c r="T43" s="290"/>
      <c r="U43" s="290"/>
      <c r="V43" s="290"/>
      <c r="W43" s="290"/>
      <c r="X43" s="290"/>
      <c r="Y43" s="290"/>
      <c r="Z43" s="290"/>
      <c r="AA43" s="290"/>
      <c r="AB43" s="290"/>
      <c r="AC43" s="290"/>
      <c r="AD43" s="290"/>
    </row>
    <row r="44" ht="12.75" customHeight="1">
      <c r="A44" s="437"/>
      <c r="B44" s="427"/>
      <c r="C44" s="427"/>
      <c r="D44" s="438"/>
      <c r="E44" s="438"/>
      <c r="F44" s="438"/>
      <c r="G44" s="438"/>
      <c r="H44" s="438"/>
      <c r="I44" s="439"/>
      <c r="J44" s="439"/>
      <c r="K44" s="439"/>
      <c r="L44" s="439"/>
      <c r="M44" s="439"/>
      <c r="N44" s="427"/>
      <c r="O44" s="427"/>
      <c r="P44" s="290"/>
      <c r="Q44" s="290"/>
      <c r="R44" s="290"/>
      <c r="S44" s="290"/>
      <c r="T44" s="290"/>
      <c r="U44" s="290"/>
      <c r="V44" s="290"/>
      <c r="W44" s="290"/>
      <c r="X44" s="290"/>
      <c r="Y44" s="290"/>
      <c r="Z44" s="290"/>
      <c r="AA44" s="290"/>
      <c r="AB44" s="290"/>
      <c r="AC44" s="290"/>
      <c r="AD44" s="290"/>
    </row>
    <row r="45" ht="12.75" customHeight="1">
      <c r="A45" s="437"/>
      <c r="B45" s="427"/>
      <c r="C45" s="427"/>
      <c r="D45" s="438"/>
      <c r="E45" s="438"/>
      <c r="F45" s="438"/>
      <c r="G45" s="438"/>
      <c r="H45" s="438"/>
      <c r="I45" s="439"/>
      <c r="J45" s="439"/>
      <c r="K45" s="439"/>
      <c r="L45" s="439"/>
      <c r="M45" s="439"/>
      <c r="N45" s="427"/>
      <c r="O45" s="427"/>
      <c r="P45" s="290"/>
      <c r="Q45" s="290"/>
      <c r="R45" s="290"/>
      <c r="S45" s="290"/>
      <c r="T45" s="290"/>
      <c r="U45" s="290"/>
      <c r="V45" s="290"/>
      <c r="W45" s="290"/>
      <c r="X45" s="290"/>
      <c r="Y45" s="290"/>
      <c r="Z45" s="290"/>
      <c r="AA45" s="290"/>
      <c r="AB45" s="290"/>
      <c r="AC45" s="290"/>
      <c r="AD45" s="290"/>
    </row>
    <row r="46" ht="12.75" customHeight="1">
      <c r="A46" s="437"/>
      <c r="B46" s="427"/>
      <c r="C46" s="427"/>
      <c r="D46" s="438"/>
      <c r="E46" s="438"/>
      <c r="F46" s="438"/>
      <c r="G46" s="438"/>
      <c r="H46" s="438"/>
      <c r="I46" s="439"/>
      <c r="J46" s="439"/>
      <c r="K46" s="439"/>
      <c r="L46" s="439"/>
      <c r="M46" s="439"/>
      <c r="N46" s="427"/>
      <c r="O46" s="427"/>
      <c r="P46" s="290"/>
      <c r="Q46" s="290"/>
      <c r="R46" s="290"/>
      <c r="S46" s="290"/>
      <c r="T46" s="290"/>
      <c r="U46" s="290"/>
      <c r="V46" s="290"/>
      <c r="W46" s="290"/>
      <c r="X46" s="290"/>
      <c r="Y46" s="290"/>
      <c r="Z46" s="290"/>
      <c r="AA46" s="290"/>
      <c r="AB46" s="290"/>
      <c r="AC46" s="290"/>
      <c r="AD46" s="290"/>
    </row>
    <row r="47" ht="12.75" customHeight="1">
      <c r="A47" s="437"/>
      <c r="B47" s="427"/>
      <c r="C47" s="427"/>
      <c r="D47" s="438"/>
      <c r="E47" s="438"/>
      <c r="F47" s="438"/>
      <c r="G47" s="438"/>
      <c r="H47" s="438"/>
      <c r="I47" s="439"/>
      <c r="J47" s="439"/>
      <c r="K47" s="439"/>
      <c r="L47" s="439"/>
      <c r="M47" s="439"/>
      <c r="N47" s="427"/>
      <c r="O47" s="427"/>
      <c r="P47" s="290"/>
      <c r="Q47" s="290"/>
      <c r="R47" s="290"/>
      <c r="S47" s="290"/>
      <c r="T47" s="290"/>
      <c r="U47" s="290"/>
      <c r="V47" s="290"/>
      <c r="W47" s="290"/>
      <c r="X47" s="290"/>
      <c r="Y47" s="290"/>
      <c r="Z47" s="290"/>
      <c r="AA47" s="290"/>
      <c r="AB47" s="290"/>
      <c r="AC47" s="290"/>
      <c r="AD47" s="290"/>
    </row>
    <row r="48" ht="12.75" customHeight="1">
      <c r="A48" s="437"/>
      <c r="B48" s="427"/>
      <c r="C48" s="427"/>
      <c r="D48" s="438"/>
      <c r="E48" s="438"/>
      <c r="F48" s="438"/>
      <c r="G48" s="438"/>
      <c r="H48" s="438"/>
      <c r="I48" s="439"/>
      <c r="J48" s="439"/>
      <c r="K48" s="439"/>
      <c r="L48" s="439"/>
      <c r="M48" s="439"/>
      <c r="N48" s="427"/>
      <c r="O48" s="427"/>
      <c r="P48" s="290"/>
      <c r="Q48" s="290"/>
      <c r="R48" s="290"/>
      <c r="S48" s="290"/>
      <c r="T48" s="290"/>
      <c r="U48" s="290"/>
      <c r="V48" s="290"/>
      <c r="W48" s="290"/>
      <c r="X48" s="290"/>
      <c r="Y48" s="290"/>
      <c r="Z48" s="290"/>
      <c r="AA48" s="290"/>
      <c r="AB48" s="290"/>
      <c r="AC48" s="290"/>
      <c r="AD48" s="290"/>
    </row>
    <row r="49" ht="12.75" customHeight="1">
      <c r="A49" s="437"/>
      <c r="B49" s="427"/>
      <c r="C49" s="427"/>
      <c r="D49" s="438"/>
      <c r="E49" s="438"/>
      <c r="F49" s="438"/>
      <c r="G49" s="438"/>
      <c r="H49" s="438"/>
      <c r="I49" s="439"/>
      <c r="J49" s="439"/>
      <c r="K49" s="439"/>
      <c r="L49" s="439"/>
      <c r="M49" s="439"/>
      <c r="N49" s="427"/>
      <c r="O49" s="427"/>
      <c r="P49" s="290"/>
      <c r="Q49" s="290"/>
      <c r="R49" s="290"/>
      <c r="S49" s="290"/>
      <c r="T49" s="290"/>
      <c r="U49" s="290"/>
      <c r="V49" s="290"/>
      <c r="W49" s="290"/>
      <c r="X49" s="290"/>
      <c r="Y49" s="290"/>
      <c r="Z49" s="290"/>
      <c r="AA49" s="290"/>
      <c r="AB49" s="290"/>
      <c r="AC49" s="290"/>
      <c r="AD49" s="290"/>
    </row>
    <row r="50" ht="12.75" customHeight="1">
      <c r="A50" s="437"/>
      <c r="B50" s="427"/>
      <c r="C50" s="427"/>
      <c r="D50" s="438"/>
      <c r="E50" s="438"/>
      <c r="F50" s="438"/>
      <c r="G50" s="438"/>
      <c r="H50" s="438"/>
      <c r="I50" s="439"/>
      <c r="J50" s="439"/>
      <c r="K50" s="439"/>
      <c r="L50" s="439"/>
      <c r="M50" s="439"/>
      <c r="N50" s="427"/>
      <c r="O50" s="427"/>
      <c r="P50" s="290"/>
      <c r="Q50" s="290"/>
      <c r="R50" s="290"/>
      <c r="S50" s="290"/>
      <c r="T50" s="290"/>
      <c r="U50" s="290"/>
      <c r="V50" s="290"/>
      <c r="W50" s="290"/>
      <c r="X50" s="290"/>
      <c r="Y50" s="290"/>
      <c r="Z50" s="290"/>
      <c r="AA50" s="290"/>
      <c r="AB50" s="290"/>
      <c r="AC50" s="290"/>
      <c r="AD50" s="290"/>
    </row>
    <row r="51" ht="12.75" customHeight="1">
      <c r="A51" s="437"/>
      <c r="B51" s="427"/>
      <c r="C51" s="427"/>
      <c r="D51" s="438"/>
      <c r="E51" s="438"/>
      <c r="F51" s="438"/>
      <c r="G51" s="438"/>
      <c r="H51" s="438"/>
      <c r="I51" s="439"/>
      <c r="J51" s="439"/>
      <c r="K51" s="439"/>
      <c r="L51" s="439"/>
      <c r="M51" s="439"/>
      <c r="N51" s="427"/>
      <c r="O51" s="427"/>
      <c r="P51" s="290"/>
      <c r="Q51" s="290"/>
      <c r="R51" s="290"/>
      <c r="S51" s="290"/>
      <c r="T51" s="290"/>
      <c r="U51" s="290"/>
      <c r="V51" s="290"/>
      <c r="W51" s="290"/>
      <c r="X51" s="290"/>
      <c r="Y51" s="290"/>
      <c r="Z51" s="290"/>
      <c r="AA51" s="290"/>
      <c r="AB51" s="290"/>
      <c r="AC51" s="290"/>
      <c r="AD51" s="290"/>
    </row>
    <row r="52" ht="12.75" customHeight="1">
      <c r="A52" s="437"/>
      <c r="B52" s="427"/>
      <c r="C52" s="427"/>
      <c r="D52" s="438"/>
      <c r="E52" s="438"/>
      <c r="F52" s="438"/>
      <c r="G52" s="438"/>
      <c r="H52" s="438"/>
      <c r="I52" s="439"/>
      <c r="J52" s="439"/>
      <c r="K52" s="439"/>
      <c r="L52" s="439"/>
      <c r="M52" s="439"/>
      <c r="N52" s="427"/>
      <c r="O52" s="427"/>
      <c r="P52" s="290"/>
      <c r="Q52" s="290"/>
      <c r="R52" s="290"/>
      <c r="S52" s="290"/>
      <c r="T52" s="290"/>
      <c r="U52" s="290"/>
      <c r="V52" s="290"/>
      <c r="W52" s="290"/>
      <c r="X52" s="290"/>
      <c r="Y52" s="290"/>
      <c r="Z52" s="290"/>
      <c r="AA52" s="290"/>
      <c r="AB52" s="290"/>
      <c r="AC52" s="290"/>
      <c r="AD52" s="290"/>
    </row>
    <row r="53" ht="12.75" customHeight="1">
      <c r="A53" s="437"/>
      <c r="B53" s="427"/>
      <c r="C53" s="427"/>
      <c r="D53" s="438"/>
      <c r="E53" s="438"/>
      <c r="F53" s="438"/>
      <c r="G53" s="438"/>
      <c r="H53" s="438"/>
      <c r="I53" s="439"/>
      <c r="J53" s="439"/>
      <c r="K53" s="439"/>
      <c r="L53" s="439"/>
      <c r="M53" s="439"/>
      <c r="N53" s="427"/>
      <c r="O53" s="427"/>
      <c r="P53" s="290"/>
      <c r="Q53" s="290"/>
      <c r="R53" s="290"/>
      <c r="S53" s="290"/>
      <c r="T53" s="290"/>
      <c r="U53" s="290"/>
      <c r="V53" s="290"/>
      <c r="W53" s="290"/>
      <c r="X53" s="290"/>
      <c r="Y53" s="290"/>
      <c r="Z53" s="290"/>
      <c r="AA53" s="290"/>
      <c r="AB53" s="290"/>
      <c r="AC53" s="290"/>
      <c r="AD53" s="290"/>
    </row>
    <row r="54" ht="12.75" customHeight="1">
      <c r="A54" s="437"/>
      <c r="B54" s="427"/>
      <c r="C54" s="427"/>
      <c r="D54" s="438"/>
      <c r="E54" s="438"/>
      <c r="F54" s="438"/>
      <c r="G54" s="438"/>
      <c r="H54" s="438"/>
      <c r="I54" s="439"/>
      <c r="J54" s="439"/>
      <c r="K54" s="439"/>
      <c r="L54" s="439"/>
      <c r="M54" s="439"/>
      <c r="N54" s="427"/>
      <c r="O54" s="427"/>
      <c r="P54" s="290"/>
      <c r="Q54" s="290"/>
      <c r="R54" s="290"/>
      <c r="S54" s="290"/>
      <c r="T54" s="290"/>
      <c r="U54" s="290"/>
      <c r="V54" s="290"/>
      <c r="W54" s="290"/>
      <c r="X54" s="290"/>
      <c r="Y54" s="290"/>
      <c r="Z54" s="290"/>
      <c r="AA54" s="290"/>
      <c r="AB54" s="290"/>
      <c r="AC54" s="290"/>
      <c r="AD54" s="290"/>
    </row>
    <row r="55" ht="12.75" customHeight="1">
      <c r="A55" s="437"/>
      <c r="B55" s="427"/>
      <c r="C55" s="427"/>
      <c r="D55" s="438"/>
      <c r="E55" s="438"/>
      <c r="F55" s="438"/>
      <c r="G55" s="438"/>
      <c r="H55" s="438"/>
      <c r="I55" s="439"/>
      <c r="J55" s="439"/>
      <c r="K55" s="439"/>
      <c r="L55" s="439"/>
      <c r="M55" s="439"/>
      <c r="N55" s="427"/>
      <c r="O55" s="427"/>
      <c r="P55" s="290"/>
      <c r="Q55" s="290"/>
      <c r="R55" s="290"/>
      <c r="S55" s="290"/>
      <c r="T55" s="290"/>
      <c r="U55" s="290"/>
      <c r="V55" s="290"/>
      <c r="W55" s="290"/>
      <c r="X55" s="290"/>
      <c r="Y55" s="290"/>
      <c r="Z55" s="290"/>
      <c r="AA55" s="290"/>
      <c r="AB55" s="290"/>
      <c r="AC55" s="290"/>
      <c r="AD55" s="290"/>
    </row>
    <row r="56" ht="12.75" customHeight="1">
      <c r="A56" s="437"/>
      <c r="B56" s="427"/>
      <c r="C56" s="427"/>
      <c r="D56" s="438"/>
      <c r="E56" s="438"/>
      <c r="F56" s="438"/>
      <c r="G56" s="438"/>
      <c r="H56" s="438"/>
      <c r="I56" s="439"/>
      <c r="J56" s="439"/>
      <c r="K56" s="439"/>
      <c r="L56" s="439"/>
      <c r="M56" s="439"/>
      <c r="N56" s="427"/>
      <c r="O56" s="427"/>
      <c r="P56" s="290"/>
      <c r="Q56" s="290"/>
      <c r="R56" s="290"/>
      <c r="S56" s="290"/>
      <c r="T56" s="290"/>
      <c r="U56" s="290"/>
      <c r="V56" s="290"/>
      <c r="W56" s="290"/>
      <c r="X56" s="290"/>
      <c r="Y56" s="290"/>
      <c r="Z56" s="290"/>
      <c r="AA56" s="290"/>
      <c r="AB56" s="290"/>
      <c r="AC56" s="290"/>
      <c r="AD56" s="290"/>
    </row>
    <row r="57" ht="12.75" customHeight="1">
      <c r="A57" s="437"/>
      <c r="B57" s="427"/>
      <c r="C57" s="427"/>
      <c r="D57" s="438"/>
      <c r="E57" s="438"/>
      <c r="F57" s="438"/>
      <c r="G57" s="438"/>
      <c r="H57" s="438"/>
      <c r="I57" s="439"/>
      <c r="J57" s="439"/>
      <c r="K57" s="439"/>
      <c r="L57" s="439"/>
      <c r="M57" s="439"/>
      <c r="N57" s="427"/>
      <c r="O57" s="427"/>
      <c r="P57" s="290"/>
      <c r="Q57" s="290"/>
      <c r="R57" s="290"/>
      <c r="S57" s="290"/>
      <c r="T57" s="290"/>
      <c r="U57" s="290"/>
      <c r="V57" s="290"/>
      <c r="W57" s="290"/>
      <c r="X57" s="290"/>
      <c r="Y57" s="290"/>
      <c r="Z57" s="290"/>
      <c r="AA57" s="290"/>
      <c r="AB57" s="290"/>
      <c r="AC57" s="290"/>
      <c r="AD57" s="290"/>
    </row>
    <row r="58" ht="12.75" customHeight="1">
      <c r="A58" s="437"/>
      <c r="B58" s="427"/>
      <c r="C58" s="427"/>
      <c r="D58" s="438"/>
      <c r="E58" s="438"/>
      <c r="F58" s="438"/>
      <c r="G58" s="438"/>
      <c r="H58" s="438"/>
      <c r="I58" s="439"/>
      <c r="J58" s="439"/>
      <c r="K58" s="439"/>
      <c r="L58" s="439"/>
      <c r="M58" s="439"/>
      <c r="N58" s="427"/>
      <c r="O58" s="427"/>
      <c r="P58" s="290"/>
      <c r="Q58" s="290"/>
      <c r="R58" s="290"/>
      <c r="S58" s="290"/>
      <c r="T58" s="290"/>
      <c r="U58" s="290"/>
      <c r="V58" s="290"/>
      <c r="W58" s="290"/>
      <c r="X58" s="290"/>
      <c r="Y58" s="290"/>
      <c r="Z58" s="290"/>
      <c r="AA58" s="290"/>
      <c r="AB58" s="290"/>
      <c r="AC58" s="290"/>
      <c r="AD58" s="290"/>
    </row>
    <row r="59" ht="12.75" customHeight="1">
      <c r="A59" s="437"/>
      <c r="B59" s="427"/>
      <c r="C59" s="427"/>
      <c r="D59" s="438"/>
      <c r="E59" s="438"/>
      <c r="F59" s="438"/>
      <c r="G59" s="438"/>
      <c r="H59" s="438"/>
      <c r="I59" s="439"/>
      <c r="J59" s="439"/>
      <c r="K59" s="439"/>
      <c r="L59" s="439"/>
      <c r="M59" s="439"/>
      <c r="N59" s="427"/>
      <c r="O59" s="427"/>
      <c r="P59" s="290"/>
      <c r="Q59" s="290"/>
      <c r="R59" s="290"/>
      <c r="S59" s="290"/>
      <c r="T59" s="290"/>
      <c r="U59" s="290"/>
      <c r="V59" s="290"/>
      <c r="W59" s="290"/>
      <c r="X59" s="290"/>
      <c r="Y59" s="290"/>
      <c r="Z59" s="290"/>
      <c r="AA59" s="290"/>
      <c r="AB59" s="290"/>
      <c r="AC59" s="290"/>
      <c r="AD59" s="290"/>
    </row>
    <row r="60" ht="12.75" customHeight="1">
      <c r="A60" s="437"/>
      <c r="B60" s="427"/>
      <c r="C60" s="427"/>
      <c r="D60" s="438"/>
      <c r="E60" s="438"/>
      <c r="F60" s="438"/>
      <c r="G60" s="438"/>
      <c r="H60" s="438"/>
      <c r="I60" s="439"/>
      <c r="J60" s="439"/>
      <c r="K60" s="439"/>
      <c r="L60" s="439"/>
      <c r="M60" s="439"/>
      <c r="N60" s="427"/>
      <c r="O60" s="427"/>
      <c r="P60" s="290"/>
      <c r="Q60" s="290"/>
      <c r="R60" s="290"/>
      <c r="S60" s="290"/>
      <c r="T60" s="290"/>
      <c r="U60" s="290"/>
      <c r="V60" s="290"/>
      <c r="W60" s="290"/>
      <c r="X60" s="290"/>
      <c r="Y60" s="290"/>
      <c r="Z60" s="290"/>
      <c r="AA60" s="290"/>
      <c r="AB60" s="290"/>
      <c r="AC60" s="290"/>
      <c r="AD60" s="290"/>
    </row>
    <row r="61" ht="12.75" customHeight="1">
      <c r="A61" s="437"/>
      <c r="B61" s="427"/>
      <c r="C61" s="427"/>
      <c r="D61" s="438"/>
      <c r="E61" s="438"/>
      <c r="F61" s="438"/>
      <c r="G61" s="438"/>
      <c r="H61" s="438"/>
      <c r="I61" s="439"/>
      <c r="J61" s="439"/>
      <c r="K61" s="439"/>
      <c r="L61" s="439"/>
      <c r="M61" s="439"/>
      <c r="N61" s="427"/>
      <c r="O61" s="427"/>
      <c r="P61" s="290"/>
      <c r="Q61" s="290"/>
      <c r="R61" s="290"/>
      <c r="S61" s="290"/>
      <c r="T61" s="290"/>
      <c r="U61" s="290"/>
      <c r="V61" s="290"/>
      <c r="W61" s="290"/>
      <c r="X61" s="290"/>
      <c r="Y61" s="290"/>
      <c r="Z61" s="290"/>
      <c r="AA61" s="290"/>
      <c r="AB61" s="290"/>
      <c r="AC61" s="290"/>
      <c r="AD61" s="290"/>
    </row>
    <row r="62" ht="12.75" customHeight="1">
      <c r="A62" s="437"/>
      <c r="B62" s="427"/>
      <c r="C62" s="427"/>
      <c r="D62" s="438"/>
      <c r="E62" s="438"/>
      <c r="F62" s="438"/>
      <c r="G62" s="438"/>
      <c r="H62" s="438"/>
      <c r="I62" s="439"/>
      <c r="J62" s="439"/>
      <c r="K62" s="439"/>
      <c r="L62" s="439"/>
      <c r="M62" s="439"/>
      <c r="N62" s="427"/>
      <c r="O62" s="427"/>
      <c r="P62" s="290"/>
      <c r="Q62" s="290"/>
      <c r="R62" s="290"/>
      <c r="S62" s="290"/>
      <c r="T62" s="290"/>
      <c r="U62" s="290"/>
      <c r="V62" s="290"/>
      <c r="W62" s="290"/>
      <c r="X62" s="290"/>
      <c r="Y62" s="290"/>
      <c r="Z62" s="290"/>
      <c r="AA62" s="290"/>
      <c r="AB62" s="290"/>
      <c r="AC62" s="290"/>
      <c r="AD62" s="290"/>
    </row>
    <row r="63" ht="12.75" customHeight="1">
      <c r="A63" s="437"/>
      <c r="B63" s="427"/>
      <c r="C63" s="427"/>
      <c r="D63" s="438"/>
      <c r="E63" s="438"/>
      <c r="F63" s="438"/>
      <c r="G63" s="438"/>
      <c r="H63" s="438"/>
      <c r="I63" s="439"/>
      <c r="J63" s="439"/>
      <c r="K63" s="439"/>
      <c r="L63" s="439"/>
      <c r="M63" s="439"/>
      <c r="N63" s="427"/>
      <c r="O63" s="427"/>
      <c r="P63" s="290"/>
      <c r="Q63" s="290"/>
      <c r="R63" s="290"/>
      <c r="S63" s="290"/>
      <c r="T63" s="290"/>
      <c r="U63" s="290"/>
      <c r="V63" s="290"/>
      <c r="W63" s="290"/>
      <c r="X63" s="290"/>
      <c r="Y63" s="290"/>
      <c r="Z63" s="290"/>
      <c r="AA63" s="290"/>
      <c r="AB63" s="290"/>
      <c r="AC63" s="290"/>
      <c r="AD63" s="290"/>
    </row>
    <row r="64" ht="12.75" customHeight="1">
      <c r="A64" s="437"/>
      <c r="B64" s="427"/>
      <c r="C64" s="427"/>
      <c r="D64" s="438"/>
      <c r="E64" s="438"/>
      <c r="F64" s="438"/>
      <c r="G64" s="438"/>
      <c r="H64" s="438"/>
      <c r="I64" s="439"/>
      <c r="J64" s="439"/>
      <c r="K64" s="439"/>
      <c r="L64" s="439"/>
      <c r="M64" s="439"/>
      <c r="N64" s="427"/>
      <c r="O64" s="427"/>
      <c r="P64" s="290"/>
      <c r="Q64" s="290"/>
      <c r="R64" s="290"/>
      <c r="S64" s="290"/>
      <c r="T64" s="290"/>
      <c r="U64" s="290"/>
      <c r="V64" s="290"/>
      <c r="W64" s="290"/>
      <c r="X64" s="290"/>
      <c r="Y64" s="290"/>
      <c r="Z64" s="290"/>
      <c r="AA64" s="290"/>
      <c r="AB64" s="290"/>
      <c r="AC64" s="290"/>
      <c r="AD64" s="290"/>
    </row>
    <row r="65" ht="12.75" customHeight="1">
      <c r="A65" s="437"/>
      <c r="B65" s="427"/>
      <c r="C65" s="427"/>
      <c r="D65" s="438"/>
      <c r="E65" s="438"/>
      <c r="F65" s="438"/>
      <c r="G65" s="438"/>
      <c r="H65" s="438"/>
      <c r="I65" s="439"/>
      <c r="J65" s="439"/>
      <c r="K65" s="439"/>
      <c r="L65" s="439"/>
      <c r="M65" s="439"/>
      <c r="N65" s="427"/>
      <c r="O65" s="427"/>
      <c r="P65" s="290"/>
      <c r="Q65" s="290"/>
      <c r="R65" s="290"/>
      <c r="S65" s="290"/>
      <c r="T65" s="290"/>
      <c r="U65" s="290"/>
      <c r="V65" s="290"/>
      <c r="W65" s="290"/>
      <c r="X65" s="290"/>
      <c r="Y65" s="290"/>
      <c r="Z65" s="290"/>
      <c r="AA65" s="290"/>
      <c r="AB65" s="290"/>
      <c r="AC65" s="290"/>
      <c r="AD65" s="290"/>
    </row>
    <row r="66" ht="12.75" customHeight="1">
      <c r="A66" s="437"/>
      <c r="B66" s="427"/>
      <c r="C66" s="427"/>
      <c r="D66" s="438"/>
      <c r="E66" s="438"/>
      <c r="F66" s="438"/>
      <c r="G66" s="438"/>
      <c r="H66" s="438"/>
      <c r="I66" s="439"/>
      <c r="J66" s="439"/>
      <c r="K66" s="439"/>
      <c r="L66" s="439"/>
      <c r="M66" s="439"/>
      <c r="N66" s="427"/>
      <c r="O66" s="427"/>
      <c r="P66" s="290"/>
      <c r="Q66" s="290"/>
      <c r="R66" s="290"/>
      <c r="S66" s="290"/>
      <c r="T66" s="290"/>
      <c r="U66" s="290"/>
      <c r="V66" s="290"/>
      <c r="W66" s="290"/>
      <c r="X66" s="290"/>
      <c r="Y66" s="290"/>
      <c r="Z66" s="290"/>
      <c r="AA66" s="290"/>
      <c r="AB66" s="290"/>
      <c r="AC66" s="290"/>
      <c r="AD66" s="290"/>
    </row>
    <row r="67" ht="12.75" customHeight="1">
      <c r="A67" s="437"/>
      <c r="B67" s="427"/>
      <c r="C67" s="427"/>
      <c r="D67" s="438"/>
      <c r="E67" s="438"/>
      <c r="F67" s="438"/>
      <c r="G67" s="438"/>
      <c r="H67" s="438"/>
      <c r="I67" s="439"/>
      <c r="J67" s="439"/>
      <c r="K67" s="439"/>
      <c r="L67" s="439"/>
      <c r="M67" s="439"/>
      <c r="N67" s="427"/>
      <c r="O67" s="427"/>
      <c r="P67" s="290"/>
      <c r="Q67" s="290"/>
      <c r="R67" s="290"/>
      <c r="S67" s="290"/>
      <c r="T67" s="290"/>
      <c r="U67" s="290"/>
      <c r="V67" s="290"/>
      <c r="W67" s="290"/>
      <c r="X67" s="290"/>
      <c r="Y67" s="290"/>
      <c r="Z67" s="290"/>
      <c r="AA67" s="290"/>
      <c r="AB67" s="290"/>
      <c r="AC67" s="290"/>
      <c r="AD67" s="290"/>
    </row>
    <row r="68" ht="12.75" customHeight="1">
      <c r="A68" s="437"/>
      <c r="B68" s="427"/>
      <c r="C68" s="427"/>
      <c r="D68" s="438"/>
      <c r="E68" s="438"/>
      <c r="F68" s="438"/>
      <c r="G68" s="438"/>
      <c r="H68" s="438"/>
      <c r="I68" s="439"/>
      <c r="J68" s="439"/>
      <c r="K68" s="439"/>
      <c r="L68" s="439"/>
      <c r="M68" s="439"/>
      <c r="N68" s="427"/>
      <c r="O68" s="427"/>
      <c r="P68" s="290"/>
      <c r="Q68" s="290"/>
      <c r="R68" s="290"/>
      <c r="S68" s="290"/>
      <c r="T68" s="290"/>
      <c r="U68" s="290"/>
      <c r="V68" s="290"/>
      <c r="W68" s="290"/>
      <c r="X68" s="290"/>
      <c r="Y68" s="290"/>
      <c r="Z68" s="290"/>
      <c r="AA68" s="290"/>
      <c r="AB68" s="290"/>
      <c r="AC68" s="290"/>
      <c r="AD68" s="290"/>
    </row>
    <row r="69" ht="12.75" customHeight="1">
      <c r="A69" s="437"/>
      <c r="B69" s="427"/>
      <c r="C69" s="427"/>
      <c r="D69" s="438"/>
      <c r="E69" s="438"/>
      <c r="F69" s="438"/>
      <c r="G69" s="438"/>
      <c r="H69" s="438"/>
      <c r="I69" s="439"/>
      <c r="J69" s="439"/>
      <c r="K69" s="439"/>
      <c r="L69" s="439"/>
      <c r="M69" s="439"/>
      <c r="N69" s="427"/>
      <c r="O69" s="427"/>
      <c r="P69" s="290"/>
      <c r="Q69" s="290"/>
      <c r="R69" s="290"/>
      <c r="S69" s="290"/>
      <c r="T69" s="290"/>
      <c r="U69" s="290"/>
      <c r="V69" s="290"/>
      <c r="W69" s="290"/>
      <c r="X69" s="290"/>
      <c r="Y69" s="290"/>
      <c r="Z69" s="290"/>
      <c r="AA69" s="290"/>
      <c r="AB69" s="290"/>
      <c r="AC69" s="290"/>
      <c r="AD69" s="290"/>
    </row>
    <row r="70" ht="12.75" customHeight="1">
      <c r="A70" s="437"/>
      <c r="B70" s="427"/>
      <c r="C70" s="427"/>
      <c r="D70" s="438"/>
      <c r="E70" s="438"/>
      <c r="F70" s="438"/>
      <c r="G70" s="438"/>
      <c r="H70" s="438"/>
      <c r="I70" s="439"/>
      <c r="J70" s="439"/>
      <c r="K70" s="439"/>
      <c r="L70" s="439"/>
      <c r="M70" s="439"/>
      <c r="N70" s="427"/>
      <c r="O70" s="427"/>
      <c r="P70" s="290"/>
      <c r="Q70" s="290"/>
      <c r="R70" s="290"/>
      <c r="S70" s="290"/>
      <c r="T70" s="290"/>
      <c r="U70" s="290"/>
      <c r="V70" s="290"/>
      <c r="W70" s="290"/>
      <c r="X70" s="290"/>
      <c r="Y70" s="290"/>
      <c r="Z70" s="290"/>
      <c r="AA70" s="290"/>
      <c r="AB70" s="290"/>
      <c r="AC70" s="290"/>
      <c r="AD70" s="290"/>
    </row>
    <row r="71" ht="12.75" customHeight="1">
      <c r="A71" s="437"/>
      <c r="B71" s="427"/>
      <c r="C71" s="427"/>
      <c r="D71" s="438"/>
      <c r="E71" s="438"/>
      <c r="F71" s="438"/>
      <c r="G71" s="438"/>
      <c r="H71" s="438"/>
      <c r="I71" s="439"/>
      <c r="J71" s="439"/>
      <c r="K71" s="439"/>
      <c r="L71" s="439"/>
      <c r="M71" s="439"/>
      <c r="N71" s="427"/>
      <c r="O71" s="427"/>
      <c r="P71" s="290"/>
      <c r="Q71" s="290"/>
      <c r="R71" s="290"/>
      <c r="S71" s="290"/>
      <c r="T71" s="290"/>
      <c r="U71" s="290"/>
      <c r="V71" s="290"/>
      <c r="W71" s="290"/>
      <c r="X71" s="290"/>
      <c r="Y71" s="290"/>
      <c r="Z71" s="290"/>
      <c r="AA71" s="290"/>
      <c r="AB71" s="290"/>
      <c r="AC71" s="290"/>
      <c r="AD71" s="290"/>
    </row>
    <row r="72" ht="12.75" customHeight="1">
      <c r="A72" s="437"/>
      <c r="B72" s="427"/>
      <c r="C72" s="427"/>
      <c r="D72" s="438"/>
      <c r="E72" s="438"/>
      <c r="F72" s="438"/>
      <c r="G72" s="438"/>
      <c r="H72" s="438"/>
      <c r="I72" s="439"/>
      <c r="J72" s="439"/>
      <c r="K72" s="439"/>
      <c r="L72" s="439"/>
      <c r="M72" s="439"/>
      <c r="N72" s="427"/>
      <c r="O72" s="427"/>
      <c r="P72" s="290"/>
      <c r="Q72" s="290"/>
      <c r="R72" s="290"/>
      <c r="S72" s="290"/>
      <c r="T72" s="290"/>
      <c r="U72" s="290"/>
      <c r="V72" s="290"/>
      <c r="W72" s="290"/>
      <c r="X72" s="290"/>
      <c r="Y72" s="290"/>
      <c r="Z72" s="290"/>
      <c r="AA72" s="290"/>
      <c r="AB72" s="290"/>
      <c r="AC72" s="290"/>
      <c r="AD72" s="290"/>
    </row>
    <row r="73" ht="12.75" customHeight="1">
      <c r="A73" s="437"/>
      <c r="B73" s="427"/>
      <c r="C73" s="427"/>
      <c r="D73" s="438"/>
      <c r="E73" s="438"/>
      <c r="F73" s="438"/>
      <c r="G73" s="438"/>
      <c r="H73" s="438"/>
      <c r="I73" s="439"/>
      <c r="J73" s="439"/>
      <c r="K73" s="439"/>
      <c r="L73" s="439"/>
      <c r="M73" s="439"/>
      <c r="N73" s="427"/>
      <c r="O73" s="427"/>
      <c r="P73" s="290"/>
      <c r="Q73" s="290"/>
      <c r="R73" s="290"/>
      <c r="S73" s="290"/>
      <c r="T73" s="290"/>
      <c r="U73" s="290"/>
      <c r="V73" s="290"/>
      <c r="W73" s="290"/>
      <c r="X73" s="290"/>
      <c r="Y73" s="290"/>
      <c r="Z73" s="290"/>
      <c r="AA73" s="290"/>
      <c r="AB73" s="290"/>
      <c r="AC73" s="290"/>
      <c r="AD73" s="290"/>
    </row>
    <row r="74" ht="12.75" customHeight="1">
      <c r="A74" s="437"/>
      <c r="B74" s="427"/>
      <c r="C74" s="427"/>
      <c r="D74" s="438"/>
      <c r="E74" s="438"/>
      <c r="F74" s="438"/>
      <c r="G74" s="438"/>
      <c r="H74" s="438"/>
      <c r="I74" s="439"/>
      <c r="J74" s="439"/>
      <c r="K74" s="439"/>
      <c r="L74" s="439"/>
      <c r="M74" s="439"/>
      <c r="N74" s="427"/>
      <c r="O74" s="427"/>
      <c r="P74" s="290"/>
      <c r="Q74" s="290"/>
      <c r="R74" s="290"/>
      <c r="S74" s="290"/>
      <c r="T74" s="290"/>
      <c r="U74" s="290"/>
      <c r="V74" s="290"/>
      <c r="W74" s="290"/>
      <c r="X74" s="290"/>
      <c r="Y74" s="290"/>
      <c r="Z74" s="290"/>
      <c r="AA74" s="290"/>
      <c r="AB74" s="290"/>
      <c r="AC74" s="290"/>
      <c r="AD74" s="290"/>
    </row>
    <row r="75" ht="12.75" customHeight="1">
      <c r="A75" s="437"/>
      <c r="B75" s="427"/>
      <c r="C75" s="427"/>
      <c r="D75" s="438"/>
      <c r="E75" s="438"/>
      <c r="F75" s="438"/>
      <c r="G75" s="438"/>
      <c r="H75" s="438"/>
      <c r="I75" s="439"/>
      <c r="J75" s="439"/>
      <c r="K75" s="439"/>
      <c r="L75" s="439"/>
      <c r="M75" s="439"/>
      <c r="N75" s="427"/>
      <c r="O75" s="427"/>
      <c r="P75" s="290"/>
      <c r="Q75" s="290"/>
      <c r="R75" s="290"/>
      <c r="S75" s="290"/>
      <c r="T75" s="290"/>
      <c r="U75" s="290"/>
      <c r="V75" s="290"/>
      <c r="W75" s="290"/>
      <c r="X75" s="290"/>
      <c r="Y75" s="290"/>
      <c r="Z75" s="290"/>
      <c r="AA75" s="290"/>
      <c r="AB75" s="290"/>
      <c r="AC75" s="290"/>
      <c r="AD75" s="290"/>
    </row>
    <row r="76" ht="12.75" customHeight="1">
      <c r="A76" s="437"/>
      <c r="B76" s="427"/>
      <c r="C76" s="427"/>
      <c r="D76" s="438"/>
      <c r="E76" s="438"/>
      <c r="F76" s="438"/>
      <c r="G76" s="438"/>
      <c r="H76" s="438"/>
      <c r="I76" s="439"/>
      <c r="J76" s="439"/>
      <c r="K76" s="439"/>
      <c r="L76" s="439"/>
      <c r="M76" s="439"/>
      <c r="N76" s="427"/>
      <c r="O76" s="427"/>
      <c r="P76" s="290"/>
      <c r="Q76" s="290"/>
      <c r="R76" s="290"/>
      <c r="S76" s="290"/>
      <c r="T76" s="290"/>
      <c r="U76" s="290"/>
      <c r="V76" s="290"/>
      <c r="W76" s="290"/>
      <c r="X76" s="290"/>
      <c r="Y76" s="290"/>
      <c r="Z76" s="290"/>
      <c r="AA76" s="290"/>
      <c r="AB76" s="290"/>
      <c r="AC76" s="290"/>
      <c r="AD76" s="290"/>
    </row>
    <row r="77" ht="12.75" customHeight="1">
      <c r="A77" s="437"/>
      <c r="B77" s="427"/>
      <c r="C77" s="427"/>
      <c r="D77" s="438"/>
      <c r="E77" s="438"/>
      <c r="F77" s="438"/>
      <c r="G77" s="438"/>
      <c r="H77" s="438"/>
      <c r="I77" s="439"/>
      <c r="J77" s="439"/>
      <c r="K77" s="439"/>
      <c r="L77" s="439"/>
      <c r="M77" s="439"/>
      <c r="N77" s="427"/>
      <c r="O77" s="427"/>
      <c r="P77" s="290"/>
      <c r="Q77" s="290"/>
      <c r="R77" s="290"/>
      <c r="S77" s="290"/>
      <c r="T77" s="290"/>
      <c r="U77" s="290"/>
      <c r="V77" s="290"/>
      <c r="W77" s="290"/>
      <c r="X77" s="290"/>
      <c r="Y77" s="290"/>
      <c r="Z77" s="290"/>
      <c r="AA77" s="290"/>
      <c r="AB77" s="290"/>
      <c r="AC77" s="290"/>
      <c r="AD77" s="290"/>
    </row>
    <row r="78" ht="12.75" customHeight="1">
      <c r="A78" s="437"/>
      <c r="B78" s="427"/>
      <c r="C78" s="427"/>
      <c r="D78" s="438"/>
      <c r="E78" s="438"/>
      <c r="F78" s="438"/>
      <c r="G78" s="438"/>
      <c r="H78" s="438"/>
      <c r="I78" s="439"/>
      <c r="J78" s="439"/>
      <c r="K78" s="439"/>
      <c r="L78" s="439"/>
      <c r="M78" s="439"/>
      <c r="N78" s="427"/>
      <c r="O78" s="427"/>
      <c r="P78" s="290"/>
      <c r="Q78" s="290"/>
      <c r="R78" s="290"/>
      <c r="S78" s="290"/>
      <c r="T78" s="290"/>
      <c r="U78" s="290"/>
      <c r="V78" s="290"/>
      <c r="W78" s="290"/>
      <c r="X78" s="290"/>
      <c r="Y78" s="290"/>
      <c r="Z78" s="290"/>
      <c r="AA78" s="290"/>
      <c r="AB78" s="290"/>
      <c r="AC78" s="290"/>
      <c r="AD78" s="290"/>
    </row>
    <row r="79" ht="12.75" customHeight="1">
      <c r="A79" s="437"/>
      <c r="B79" s="427"/>
      <c r="C79" s="427"/>
      <c r="D79" s="438"/>
      <c r="E79" s="438"/>
      <c r="F79" s="438"/>
      <c r="G79" s="438"/>
      <c r="H79" s="438"/>
      <c r="I79" s="439"/>
      <c r="J79" s="439"/>
      <c r="K79" s="439"/>
      <c r="L79" s="439"/>
      <c r="M79" s="439"/>
      <c r="N79" s="427"/>
      <c r="O79" s="427"/>
      <c r="P79" s="290"/>
      <c r="Q79" s="290"/>
      <c r="R79" s="290"/>
      <c r="S79" s="290"/>
      <c r="T79" s="290"/>
      <c r="U79" s="290"/>
      <c r="V79" s="290"/>
      <c r="W79" s="290"/>
      <c r="X79" s="290"/>
      <c r="Y79" s="290"/>
      <c r="Z79" s="290"/>
      <c r="AA79" s="290"/>
      <c r="AB79" s="290"/>
      <c r="AC79" s="290"/>
      <c r="AD79" s="290"/>
    </row>
    <row r="80" ht="12.75" customHeight="1">
      <c r="A80" s="437"/>
      <c r="B80" s="427"/>
      <c r="C80" s="427"/>
      <c r="D80" s="438"/>
      <c r="E80" s="438"/>
      <c r="F80" s="438"/>
      <c r="G80" s="438"/>
      <c r="H80" s="438"/>
      <c r="I80" s="439"/>
      <c r="J80" s="439"/>
      <c r="K80" s="439"/>
      <c r="L80" s="439"/>
      <c r="M80" s="439"/>
      <c r="N80" s="427"/>
      <c r="O80" s="427"/>
      <c r="P80" s="290"/>
      <c r="Q80" s="290"/>
      <c r="R80" s="290"/>
      <c r="S80" s="290"/>
      <c r="T80" s="290"/>
      <c r="U80" s="290"/>
      <c r="V80" s="290"/>
      <c r="W80" s="290"/>
      <c r="X80" s="290"/>
      <c r="Y80" s="290"/>
      <c r="Z80" s="290"/>
      <c r="AA80" s="290"/>
      <c r="AB80" s="290"/>
      <c r="AC80" s="290"/>
      <c r="AD80" s="290"/>
    </row>
    <row r="81" ht="12.75" customHeight="1">
      <c r="A81" s="437"/>
      <c r="B81" s="427"/>
      <c r="C81" s="427"/>
      <c r="D81" s="438"/>
      <c r="E81" s="438"/>
      <c r="F81" s="438"/>
      <c r="G81" s="438"/>
      <c r="H81" s="438"/>
      <c r="I81" s="439"/>
      <c r="J81" s="439"/>
      <c r="K81" s="439"/>
      <c r="L81" s="439"/>
      <c r="M81" s="439"/>
      <c r="N81" s="427"/>
      <c r="O81" s="427"/>
      <c r="P81" s="290"/>
      <c r="Q81" s="290"/>
      <c r="R81" s="290"/>
      <c r="S81" s="290"/>
      <c r="T81" s="290"/>
      <c r="U81" s="290"/>
      <c r="V81" s="290"/>
      <c r="W81" s="290"/>
      <c r="X81" s="290"/>
      <c r="Y81" s="290"/>
      <c r="Z81" s="290"/>
      <c r="AA81" s="290"/>
      <c r="AB81" s="290"/>
      <c r="AC81" s="290"/>
      <c r="AD81" s="290"/>
    </row>
    <row r="82" ht="12.75" customHeight="1">
      <c r="A82" s="437"/>
      <c r="B82" s="427"/>
      <c r="C82" s="427"/>
      <c r="D82" s="438"/>
      <c r="E82" s="438"/>
      <c r="F82" s="438"/>
      <c r="G82" s="438"/>
      <c r="H82" s="438"/>
      <c r="I82" s="439"/>
      <c r="J82" s="439"/>
      <c r="K82" s="439"/>
      <c r="L82" s="439"/>
      <c r="M82" s="439"/>
      <c r="N82" s="427"/>
      <c r="O82" s="427"/>
      <c r="P82" s="290"/>
      <c r="Q82" s="290"/>
      <c r="R82" s="290"/>
      <c r="S82" s="290"/>
      <c r="T82" s="290"/>
      <c r="U82" s="290"/>
      <c r="V82" s="290"/>
      <c r="W82" s="290"/>
      <c r="X82" s="290"/>
      <c r="Y82" s="290"/>
      <c r="Z82" s="290"/>
      <c r="AA82" s="290"/>
      <c r="AB82" s="290"/>
      <c r="AC82" s="290"/>
      <c r="AD82" s="290"/>
    </row>
    <row r="83" ht="12.75" customHeight="1">
      <c r="A83" s="437"/>
      <c r="B83" s="427"/>
      <c r="C83" s="427"/>
      <c r="D83" s="438"/>
      <c r="E83" s="438"/>
      <c r="F83" s="438"/>
      <c r="G83" s="438"/>
      <c r="H83" s="438"/>
      <c r="I83" s="439"/>
      <c r="J83" s="439"/>
      <c r="K83" s="439"/>
      <c r="L83" s="439"/>
      <c r="M83" s="439"/>
      <c r="N83" s="427"/>
      <c r="O83" s="427"/>
      <c r="P83" s="290"/>
      <c r="Q83" s="290"/>
      <c r="R83" s="290"/>
      <c r="S83" s="290"/>
      <c r="T83" s="290"/>
      <c r="U83" s="290"/>
      <c r="V83" s="290"/>
      <c r="W83" s="290"/>
      <c r="X83" s="290"/>
      <c r="Y83" s="290"/>
      <c r="Z83" s="290"/>
      <c r="AA83" s="290"/>
      <c r="AB83" s="290"/>
      <c r="AC83" s="290"/>
      <c r="AD83" s="290"/>
    </row>
    <row r="84" ht="12.75" customHeight="1">
      <c r="A84" s="437"/>
      <c r="B84" s="427"/>
      <c r="C84" s="427"/>
      <c r="D84" s="438"/>
      <c r="E84" s="438"/>
      <c r="F84" s="438"/>
      <c r="G84" s="438"/>
      <c r="H84" s="438"/>
      <c r="I84" s="439"/>
      <c r="J84" s="439"/>
      <c r="K84" s="439"/>
      <c r="L84" s="439"/>
      <c r="M84" s="439"/>
      <c r="N84" s="427"/>
      <c r="O84" s="427"/>
      <c r="P84" s="290"/>
      <c r="Q84" s="290"/>
      <c r="R84" s="290"/>
      <c r="S84" s="290"/>
      <c r="T84" s="290"/>
      <c r="U84" s="290"/>
      <c r="V84" s="290"/>
      <c r="W84" s="290"/>
      <c r="X84" s="290"/>
      <c r="Y84" s="290"/>
      <c r="Z84" s="290"/>
      <c r="AA84" s="290"/>
      <c r="AB84" s="290"/>
      <c r="AC84" s="290"/>
      <c r="AD84" s="290"/>
    </row>
    <row r="85" ht="12.75" customHeight="1">
      <c r="A85" s="437"/>
      <c r="B85" s="427"/>
      <c r="C85" s="427"/>
      <c r="D85" s="438"/>
      <c r="E85" s="438"/>
      <c r="F85" s="438"/>
      <c r="G85" s="438"/>
      <c r="H85" s="438"/>
      <c r="I85" s="439"/>
      <c r="J85" s="439"/>
      <c r="K85" s="439"/>
      <c r="L85" s="439"/>
      <c r="M85" s="439"/>
      <c r="N85" s="427"/>
      <c r="O85" s="427"/>
      <c r="P85" s="290"/>
      <c r="Q85" s="290"/>
      <c r="R85" s="290"/>
      <c r="S85" s="290"/>
      <c r="T85" s="290"/>
      <c r="U85" s="290"/>
      <c r="V85" s="290"/>
      <c r="W85" s="290"/>
      <c r="X85" s="290"/>
      <c r="Y85" s="290"/>
      <c r="Z85" s="290"/>
      <c r="AA85" s="290"/>
      <c r="AB85" s="290"/>
      <c r="AC85" s="290"/>
      <c r="AD85" s="290"/>
    </row>
    <row r="86" ht="12.75" customHeight="1">
      <c r="A86" s="437"/>
      <c r="B86" s="427"/>
      <c r="C86" s="427"/>
      <c r="D86" s="438"/>
      <c r="E86" s="438"/>
      <c r="F86" s="438"/>
      <c r="G86" s="438"/>
      <c r="H86" s="438"/>
      <c r="I86" s="439"/>
      <c r="J86" s="439"/>
      <c r="K86" s="439"/>
      <c r="L86" s="439"/>
      <c r="M86" s="439"/>
      <c r="N86" s="427"/>
      <c r="O86" s="427"/>
      <c r="P86" s="290"/>
      <c r="Q86" s="290"/>
      <c r="R86" s="290"/>
      <c r="S86" s="290"/>
      <c r="T86" s="290"/>
      <c r="U86" s="290"/>
      <c r="V86" s="290"/>
      <c r="W86" s="290"/>
      <c r="X86" s="290"/>
      <c r="Y86" s="290"/>
      <c r="Z86" s="290"/>
      <c r="AA86" s="290"/>
      <c r="AB86" s="290"/>
      <c r="AC86" s="290"/>
      <c r="AD86" s="290"/>
    </row>
    <row r="87" ht="12.75" customHeight="1">
      <c r="A87" s="437"/>
      <c r="B87" s="427"/>
      <c r="C87" s="427"/>
      <c r="D87" s="438"/>
      <c r="E87" s="438"/>
      <c r="F87" s="438"/>
      <c r="G87" s="438"/>
      <c r="H87" s="438"/>
      <c r="I87" s="439"/>
      <c r="J87" s="439"/>
      <c r="K87" s="439"/>
      <c r="L87" s="439"/>
      <c r="M87" s="439"/>
      <c r="N87" s="427"/>
      <c r="O87" s="427"/>
      <c r="P87" s="290"/>
      <c r="Q87" s="290"/>
      <c r="R87" s="290"/>
      <c r="S87" s="290"/>
      <c r="T87" s="290"/>
      <c r="U87" s="290"/>
      <c r="V87" s="290"/>
      <c r="W87" s="290"/>
      <c r="X87" s="290"/>
      <c r="Y87" s="290"/>
      <c r="Z87" s="290"/>
      <c r="AA87" s="290"/>
      <c r="AB87" s="290"/>
      <c r="AC87" s="290"/>
      <c r="AD87" s="290"/>
    </row>
    <row r="88" ht="12.75" customHeight="1">
      <c r="A88" s="437"/>
      <c r="B88" s="427"/>
      <c r="C88" s="427"/>
      <c r="D88" s="438"/>
      <c r="E88" s="438"/>
      <c r="F88" s="438"/>
      <c r="G88" s="438"/>
      <c r="H88" s="438"/>
      <c r="I88" s="439"/>
      <c r="J88" s="439"/>
      <c r="K88" s="439"/>
      <c r="L88" s="439"/>
      <c r="M88" s="439"/>
      <c r="N88" s="427"/>
      <c r="O88" s="427"/>
      <c r="P88" s="290"/>
      <c r="Q88" s="290"/>
      <c r="R88" s="290"/>
      <c r="S88" s="290"/>
      <c r="T88" s="290"/>
      <c r="U88" s="290"/>
      <c r="V88" s="290"/>
      <c r="W88" s="290"/>
      <c r="X88" s="290"/>
      <c r="Y88" s="290"/>
      <c r="Z88" s="290"/>
      <c r="AA88" s="290"/>
      <c r="AB88" s="290"/>
      <c r="AC88" s="290"/>
      <c r="AD88" s="290"/>
    </row>
    <row r="89" ht="12.75" customHeight="1">
      <c r="A89" s="437"/>
      <c r="B89" s="427"/>
      <c r="C89" s="427"/>
      <c r="D89" s="438"/>
      <c r="E89" s="438"/>
      <c r="F89" s="438"/>
      <c r="G89" s="438"/>
      <c r="H89" s="438"/>
      <c r="I89" s="439"/>
      <c r="J89" s="439"/>
      <c r="K89" s="439"/>
      <c r="L89" s="439"/>
      <c r="M89" s="439"/>
      <c r="N89" s="427"/>
      <c r="O89" s="427"/>
      <c r="P89" s="290"/>
      <c r="Q89" s="290"/>
      <c r="R89" s="290"/>
      <c r="S89" s="290"/>
      <c r="T89" s="290"/>
      <c r="U89" s="290"/>
      <c r="V89" s="290"/>
      <c r="W89" s="290"/>
      <c r="X89" s="290"/>
      <c r="Y89" s="290"/>
      <c r="Z89" s="290"/>
      <c r="AA89" s="290"/>
      <c r="AB89" s="290"/>
      <c r="AC89" s="290"/>
      <c r="AD89" s="290"/>
    </row>
    <row r="90" ht="12.75" customHeight="1">
      <c r="A90" s="437"/>
      <c r="B90" s="427"/>
      <c r="C90" s="427"/>
      <c r="D90" s="438"/>
      <c r="E90" s="438"/>
      <c r="F90" s="438"/>
      <c r="G90" s="438"/>
      <c r="H90" s="438"/>
      <c r="I90" s="439"/>
      <c r="J90" s="439"/>
      <c r="K90" s="439"/>
      <c r="L90" s="439"/>
      <c r="M90" s="439"/>
      <c r="N90" s="427"/>
      <c r="O90" s="427"/>
      <c r="P90" s="290"/>
      <c r="Q90" s="290"/>
      <c r="R90" s="290"/>
      <c r="S90" s="290"/>
      <c r="T90" s="290"/>
      <c r="U90" s="290"/>
      <c r="V90" s="290"/>
      <c r="W90" s="290"/>
      <c r="X90" s="290"/>
      <c r="Y90" s="290"/>
      <c r="Z90" s="290"/>
      <c r="AA90" s="290"/>
      <c r="AB90" s="290"/>
      <c r="AC90" s="290"/>
      <c r="AD90" s="290"/>
    </row>
    <row r="91" ht="12.75" customHeight="1">
      <c r="A91" s="437"/>
      <c r="B91" s="427"/>
      <c r="C91" s="427"/>
      <c r="D91" s="438"/>
      <c r="E91" s="438"/>
      <c r="F91" s="438"/>
      <c r="G91" s="438"/>
      <c r="H91" s="438"/>
      <c r="I91" s="439"/>
      <c r="J91" s="439"/>
      <c r="K91" s="439"/>
      <c r="L91" s="439"/>
      <c r="M91" s="439"/>
      <c r="N91" s="427"/>
      <c r="O91" s="427"/>
      <c r="P91" s="290"/>
      <c r="Q91" s="290"/>
      <c r="R91" s="290"/>
      <c r="S91" s="290"/>
      <c r="T91" s="290"/>
      <c r="U91" s="290"/>
      <c r="V91" s="290"/>
      <c r="W91" s="290"/>
      <c r="X91" s="290"/>
      <c r="Y91" s="290"/>
      <c r="Z91" s="290"/>
      <c r="AA91" s="290"/>
      <c r="AB91" s="290"/>
      <c r="AC91" s="290"/>
      <c r="AD91" s="290"/>
    </row>
    <row r="92" ht="12.75" customHeight="1">
      <c r="A92" s="437"/>
      <c r="B92" s="427"/>
      <c r="C92" s="427"/>
      <c r="D92" s="438"/>
      <c r="E92" s="438"/>
      <c r="F92" s="438"/>
      <c r="G92" s="438"/>
      <c r="H92" s="438"/>
      <c r="I92" s="439"/>
      <c r="J92" s="439"/>
      <c r="K92" s="439"/>
      <c r="L92" s="439"/>
      <c r="M92" s="439"/>
      <c r="N92" s="427"/>
      <c r="O92" s="427"/>
      <c r="P92" s="290"/>
      <c r="Q92" s="290"/>
      <c r="R92" s="290"/>
      <c r="S92" s="290"/>
      <c r="T92" s="290"/>
      <c r="U92" s="290"/>
      <c r="V92" s="290"/>
      <c r="W92" s="290"/>
      <c r="X92" s="290"/>
      <c r="Y92" s="290"/>
      <c r="Z92" s="290"/>
      <c r="AA92" s="290"/>
      <c r="AB92" s="290"/>
      <c r="AC92" s="290"/>
      <c r="AD92" s="290"/>
    </row>
    <row r="93" ht="12.75" customHeight="1">
      <c r="A93" s="437"/>
      <c r="B93" s="427"/>
      <c r="C93" s="427"/>
      <c r="D93" s="438"/>
      <c r="E93" s="438"/>
      <c r="F93" s="438"/>
      <c r="G93" s="438"/>
      <c r="H93" s="438"/>
      <c r="I93" s="439"/>
      <c r="J93" s="439"/>
      <c r="K93" s="439"/>
      <c r="L93" s="439"/>
      <c r="M93" s="439"/>
      <c r="N93" s="427"/>
      <c r="O93" s="427"/>
      <c r="P93" s="290"/>
      <c r="Q93" s="290"/>
      <c r="R93" s="290"/>
      <c r="S93" s="290"/>
      <c r="T93" s="290"/>
      <c r="U93" s="290"/>
      <c r="V93" s="290"/>
      <c r="W93" s="290"/>
      <c r="X93" s="290"/>
      <c r="Y93" s="290"/>
      <c r="Z93" s="290"/>
      <c r="AA93" s="290"/>
      <c r="AB93" s="290"/>
      <c r="AC93" s="290"/>
      <c r="AD93" s="290"/>
    </row>
    <row r="94" ht="12.75" customHeight="1">
      <c r="A94" s="437"/>
      <c r="B94" s="427"/>
      <c r="C94" s="427"/>
      <c r="D94" s="438"/>
      <c r="E94" s="438"/>
      <c r="F94" s="438"/>
      <c r="G94" s="438"/>
      <c r="H94" s="438"/>
      <c r="I94" s="439"/>
      <c r="J94" s="439"/>
      <c r="K94" s="439"/>
      <c r="L94" s="439"/>
      <c r="M94" s="439"/>
      <c r="N94" s="427"/>
      <c r="O94" s="427"/>
      <c r="P94" s="290"/>
      <c r="Q94" s="290"/>
      <c r="R94" s="290"/>
      <c r="S94" s="290"/>
      <c r="T94" s="290"/>
      <c r="U94" s="290"/>
      <c r="V94" s="290"/>
      <c r="W94" s="290"/>
      <c r="X94" s="290"/>
      <c r="Y94" s="290"/>
      <c r="Z94" s="290"/>
      <c r="AA94" s="290"/>
      <c r="AB94" s="290"/>
      <c r="AC94" s="290"/>
      <c r="AD94" s="290"/>
    </row>
    <row r="95" ht="12.75" customHeight="1">
      <c r="A95" s="437"/>
      <c r="B95" s="427"/>
      <c r="C95" s="427"/>
      <c r="D95" s="438"/>
      <c r="E95" s="438"/>
      <c r="F95" s="438"/>
      <c r="G95" s="438"/>
      <c r="H95" s="438"/>
      <c r="I95" s="439"/>
      <c r="J95" s="439"/>
      <c r="K95" s="439"/>
      <c r="L95" s="439"/>
      <c r="M95" s="439"/>
      <c r="N95" s="427"/>
      <c r="O95" s="427"/>
      <c r="P95" s="290"/>
      <c r="Q95" s="290"/>
      <c r="R95" s="290"/>
      <c r="S95" s="290"/>
      <c r="T95" s="290"/>
      <c r="U95" s="290"/>
      <c r="V95" s="290"/>
      <c r="W95" s="290"/>
      <c r="X95" s="290"/>
      <c r="Y95" s="290"/>
      <c r="Z95" s="290"/>
      <c r="AA95" s="290"/>
      <c r="AB95" s="290"/>
      <c r="AC95" s="290"/>
      <c r="AD95" s="290"/>
    </row>
    <row r="96" ht="12.75" customHeight="1">
      <c r="A96" s="437"/>
      <c r="B96" s="427"/>
      <c r="C96" s="427"/>
      <c r="D96" s="438"/>
      <c r="E96" s="438"/>
      <c r="F96" s="438"/>
      <c r="G96" s="438"/>
      <c r="H96" s="438"/>
      <c r="I96" s="439"/>
      <c r="J96" s="439"/>
      <c r="K96" s="439"/>
      <c r="L96" s="439"/>
      <c r="M96" s="439"/>
      <c r="N96" s="427"/>
      <c r="O96" s="427"/>
      <c r="P96" s="290"/>
      <c r="Q96" s="290"/>
      <c r="R96" s="290"/>
      <c r="S96" s="290"/>
      <c r="T96" s="290"/>
      <c r="U96" s="290"/>
      <c r="V96" s="290"/>
      <c r="W96" s="290"/>
      <c r="X96" s="290"/>
      <c r="Y96" s="290"/>
      <c r="Z96" s="290"/>
      <c r="AA96" s="290"/>
      <c r="AB96" s="290"/>
      <c r="AC96" s="290"/>
      <c r="AD96" s="290"/>
    </row>
    <row r="97" ht="12.75" customHeight="1">
      <c r="A97" s="437"/>
      <c r="B97" s="427"/>
      <c r="C97" s="427"/>
      <c r="D97" s="438"/>
      <c r="E97" s="438"/>
      <c r="F97" s="438"/>
      <c r="G97" s="438"/>
      <c r="H97" s="438"/>
      <c r="I97" s="439"/>
      <c r="J97" s="439"/>
      <c r="K97" s="439"/>
      <c r="L97" s="439"/>
      <c r="M97" s="439"/>
      <c r="N97" s="427"/>
      <c r="O97" s="427"/>
      <c r="P97" s="290"/>
      <c r="Q97" s="290"/>
      <c r="R97" s="290"/>
      <c r="S97" s="290"/>
      <c r="T97" s="290"/>
      <c r="U97" s="290"/>
      <c r="V97" s="290"/>
      <c r="W97" s="290"/>
      <c r="X97" s="290"/>
      <c r="Y97" s="290"/>
      <c r="Z97" s="290"/>
      <c r="AA97" s="290"/>
      <c r="AB97" s="290"/>
      <c r="AC97" s="290"/>
      <c r="AD97" s="290"/>
    </row>
    <row r="98" ht="12.75" customHeight="1">
      <c r="A98" s="437"/>
      <c r="B98" s="427"/>
      <c r="C98" s="427"/>
      <c r="D98" s="438"/>
      <c r="E98" s="438"/>
      <c r="F98" s="438"/>
      <c r="G98" s="438"/>
      <c r="H98" s="438"/>
      <c r="I98" s="439"/>
      <c r="J98" s="439"/>
      <c r="K98" s="439"/>
      <c r="L98" s="439"/>
      <c r="M98" s="439"/>
      <c r="N98" s="427"/>
      <c r="O98" s="427"/>
      <c r="P98" s="290"/>
      <c r="Q98" s="290"/>
      <c r="R98" s="290"/>
      <c r="S98" s="290"/>
      <c r="T98" s="290"/>
      <c r="U98" s="290"/>
      <c r="V98" s="290"/>
      <c r="W98" s="290"/>
      <c r="X98" s="290"/>
      <c r="Y98" s="290"/>
      <c r="Z98" s="290"/>
      <c r="AA98" s="290"/>
      <c r="AB98" s="290"/>
      <c r="AC98" s="290"/>
      <c r="AD98" s="290"/>
    </row>
    <row r="99" ht="12.75" customHeight="1">
      <c r="A99" s="437"/>
      <c r="B99" s="427"/>
      <c r="C99" s="427"/>
      <c r="D99" s="438"/>
      <c r="E99" s="438"/>
      <c r="F99" s="438"/>
      <c r="G99" s="438"/>
      <c r="H99" s="438"/>
      <c r="I99" s="439"/>
      <c r="J99" s="439"/>
      <c r="K99" s="439"/>
      <c r="L99" s="439"/>
      <c r="M99" s="439"/>
      <c r="N99" s="427"/>
      <c r="O99" s="427"/>
      <c r="P99" s="290"/>
      <c r="Q99" s="290"/>
      <c r="R99" s="290"/>
      <c r="S99" s="290"/>
      <c r="T99" s="290"/>
      <c r="U99" s="290"/>
      <c r="V99" s="290"/>
      <c r="W99" s="290"/>
      <c r="X99" s="290"/>
      <c r="Y99" s="290"/>
      <c r="Z99" s="290"/>
      <c r="AA99" s="290"/>
      <c r="AB99" s="290"/>
      <c r="AC99" s="290"/>
      <c r="AD99" s="290"/>
    </row>
    <row r="100" ht="12.75" customHeight="1">
      <c r="A100" s="437"/>
      <c r="B100" s="427"/>
      <c r="C100" s="427"/>
      <c r="D100" s="438"/>
      <c r="E100" s="438"/>
      <c r="F100" s="438"/>
      <c r="G100" s="438"/>
      <c r="H100" s="438"/>
      <c r="I100" s="439"/>
      <c r="J100" s="439"/>
      <c r="K100" s="439"/>
      <c r="L100" s="439"/>
      <c r="M100" s="439"/>
      <c r="N100" s="427"/>
      <c r="O100" s="427"/>
      <c r="P100" s="290"/>
      <c r="Q100" s="290"/>
      <c r="R100" s="290"/>
      <c r="S100" s="290"/>
      <c r="T100" s="290"/>
      <c r="U100" s="290"/>
      <c r="V100" s="290"/>
      <c r="W100" s="290"/>
      <c r="X100" s="290"/>
      <c r="Y100" s="290"/>
      <c r="Z100" s="290"/>
      <c r="AA100" s="290"/>
      <c r="AB100" s="290"/>
      <c r="AC100" s="290"/>
      <c r="AD100" s="290"/>
    </row>
    <row r="101" ht="12.75" customHeight="1">
      <c r="A101" s="437"/>
      <c r="B101" s="427"/>
      <c r="C101" s="427"/>
      <c r="D101" s="438"/>
      <c r="E101" s="438"/>
      <c r="F101" s="438"/>
      <c r="G101" s="438"/>
      <c r="H101" s="438"/>
      <c r="I101" s="439"/>
      <c r="J101" s="439"/>
      <c r="K101" s="439"/>
      <c r="L101" s="439"/>
      <c r="M101" s="439"/>
      <c r="N101" s="427"/>
      <c r="O101" s="427"/>
      <c r="P101" s="290"/>
      <c r="Q101" s="290"/>
      <c r="R101" s="290"/>
      <c r="S101" s="290"/>
      <c r="T101" s="290"/>
      <c r="U101" s="290"/>
      <c r="V101" s="290"/>
      <c r="W101" s="290"/>
      <c r="X101" s="290"/>
      <c r="Y101" s="290"/>
      <c r="Z101" s="290"/>
      <c r="AA101" s="290"/>
      <c r="AB101" s="290"/>
      <c r="AC101" s="290"/>
      <c r="AD101" s="290"/>
    </row>
    <row r="102" ht="12.75" customHeight="1">
      <c r="A102" s="437"/>
      <c r="B102" s="427"/>
      <c r="C102" s="427"/>
      <c r="D102" s="438"/>
      <c r="E102" s="438"/>
      <c r="F102" s="438"/>
      <c r="G102" s="438"/>
      <c r="H102" s="438"/>
      <c r="I102" s="439"/>
      <c r="J102" s="439"/>
      <c r="K102" s="439"/>
      <c r="L102" s="439"/>
      <c r="M102" s="439"/>
      <c r="N102" s="427"/>
      <c r="O102" s="427"/>
      <c r="P102" s="290"/>
      <c r="Q102" s="290"/>
      <c r="R102" s="290"/>
      <c r="S102" s="290"/>
      <c r="T102" s="290"/>
      <c r="U102" s="290"/>
      <c r="V102" s="290"/>
      <c r="W102" s="290"/>
      <c r="X102" s="290"/>
      <c r="Y102" s="290"/>
      <c r="Z102" s="290"/>
      <c r="AA102" s="290"/>
      <c r="AB102" s="290"/>
      <c r="AC102" s="290"/>
      <c r="AD102" s="290"/>
    </row>
    <row r="103" ht="12.75" customHeight="1">
      <c r="A103" s="437"/>
      <c r="B103" s="427"/>
      <c r="C103" s="427"/>
      <c r="D103" s="438"/>
      <c r="E103" s="438"/>
      <c r="F103" s="438"/>
      <c r="G103" s="438"/>
      <c r="H103" s="438"/>
      <c r="I103" s="439"/>
      <c r="J103" s="439"/>
      <c r="K103" s="439"/>
      <c r="L103" s="439"/>
      <c r="M103" s="439"/>
      <c r="N103" s="427"/>
      <c r="O103" s="427"/>
      <c r="P103" s="290"/>
      <c r="Q103" s="290"/>
      <c r="R103" s="290"/>
      <c r="S103" s="290"/>
      <c r="T103" s="290"/>
      <c r="U103" s="290"/>
      <c r="V103" s="290"/>
      <c r="W103" s="290"/>
      <c r="X103" s="290"/>
      <c r="Y103" s="290"/>
      <c r="Z103" s="290"/>
      <c r="AA103" s="290"/>
      <c r="AB103" s="290"/>
      <c r="AC103" s="290"/>
      <c r="AD103" s="290"/>
    </row>
    <row r="104" ht="12.75" customHeight="1">
      <c r="A104" s="437"/>
      <c r="B104" s="427"/>
      <c r="C104" s="427"/>
      <c r="D104" s="438"/>
      <c r="E104" s="438"/>
      <c r="F104" s="438"/>
      <c r="G104" s="438"/>
      <c r="H104" s="438"/>
      <c r="I104" s="439"/>
      <c r="J104" s="439"/>
      <c r="K104" s="439"/>
      <c r="L104" s="439"/>
      <c r="M104" s="439"/>
      <c r="N104" s="427"/>
      <c r="O104" s="427"/>
      <c r="P104" s="290"/>
      <c r="Q104" s="290"/>
      <c r="R104" s="290"/>
      <c r="S104" s="290"/>
      <c r="T104" s="290"/>
      <c r="U104" s="290"/>
      <c r="V104" s="290"/>
      <c r="W104" s="290"/>
      <c r="X104" s="290"/>
      <c r="Y104" s="290"/>
      <c r="Z104" s="290"/>
      <c r="AA104" s="290"/>
      <c r="AB104" s="290"/>
      <c r="AC104" s="290"/>
      <c r="AD104" s="290"/>
    </row>
    <row r="105" ht="12.75" customHeight="1">
      <c r="A105" s="437"/>
      <c r="B105" s="427"/>
      <c r="C105" s="427"/>
      <c r="D105" s="438"/>
      <c r="E105" s="438"/>
      <c r="F105" s="438"/>
      <c r="G105" s="438"/>
      <c r="H105" s="438"/>
      <c r="I105" s="439"/>
      <c r="J105" s="439"/>
      <c r="K105" s="439"/>
      <c r="L105" s="439"/>
      <c r="M105" s="439"/>
      <c r="N105" s="427"/>
      <c r="O105" s="427"/>
      <c r="P105" s="290"/>
      <c r="Q105" s="290"/>
      <c r="R105" s="290"/>
      <c r="S105" s="290"/>
      <c r="T105" s="290"/>
      <c r="U105" s="290"/>
      <c r="V105" s="290"/>
      <c r="W105" s="290"/>
      <c r="X105" s="290"/>
      <c r="Y105" s="290"/>
      <c r="Z105" s="290"/>
      <c r="AA105" s="290"/>
      <c r="AB105" s="290"/>
      <c r="AC105" s="290"/>
      <c r="AD105" s="290"/>
    </row>
    <row r="106" ht="12.75" customHeight="1">
      <c r="A106" s="437"/>
      <c r="B106" s="427"/>
      <c r="C106" s="427"/>
      <c r="D106" s="438"/>
      <c r="E106" s="438"/>
      <c r="F106" s="438"/>
      <c r="G106" s="438"/>
      <c r="H106" s="438"/>
      <c r="I106" s="439"/>
      <c r="J106" s="439"/>
      <c r="K106" s="439"/>
      <c r="L106" s="439"/>
      <c r="M106" s="439"/>
      <c r="N106" s="427"/>
      <c r="O106" s="427"/>
      <c r="P106" s="290"/>
      <c r="Q106" s="290"/>
      <c r="R106" s="290"/>
      <c r="S106" s="290"/>
      <c r="T106" s="290"/>
      <c r="U106" s="290"/>
      <c r="V106" s="290"/>
      <c r="W106" s="290"/>
      <c r="X106" s="290"/>
      <c r="Y106" s="290"/>
      <c r="Z106" s="290"/>
      <c r="AA106" s="290"/>
      <c r="AB106" s="290"/>
      <c r="AC106" s="290"/>
      <c r="AD106" s="290"/>
    </row>
    <row r="107" ht="12.75" customHeight="1">
      <c r="A107" s="437"/>
      <c r="B107" s="427"/>
      <c r="C107" s="427"/>
      <c r="D107" s="438"/>
      <c r="E107" s="438"/>
      <c r="F107" s="438"/>
      <c r="G107" s="438"/>
      <c r="H107" s="438"/>
      <c r="I107" s="439"/>
      <c r="J107" s="439"/>
      <c r="K107" s="439"/>
      <c r="L107" s="439"/>
      <c r="M107" s="439"/>
      <c r="N107" s="427"/>
      <c r="O107" s="427"/>
      <c r="P107" s="290"/>
      <c r="Q107" s="290"/>
      <c r="R107" s="290"/>
      <c r="S107" s="290"/>
      <c r="T107" s="290"/>
      <c r="U107" s="290"/>
      <c r="V107" s="290"/>
      <c r="W107" s="290"/>
      <c r="X107" s="290"/>
      <c r="Y107" s="290"/>
      <c r="Z107" s="290"/>
      <c r="AA107" s="290"/>
      <c r="AB107" s="290"/>
      <c r="AC107" s="290"/>
      <c r="AD107" s="290"/>
    </row>
    <row r="108" ht="12.75" customHeight="1">
      <c r="A108" s="437"/>
      <c r="B108" s="427"/>
      <c r="C108" s="427"/>
      <c r="D108" s="438"/>
      <c r="E108" s="438"/>
      <c r="F108" s="438"/>
      <c r="G108" s="438"/>
      <c r="H108" s="438"/>
      <c r="I108" s="439"/>
      <c r="J108" s="439"/>
      <c r="K108" s="439"/>
      <c r="L108" s="439"/>
      <c r="M108" s="439"/>
      <c r="N108" s="427"/>
      <c r="O108" s="427"/>
      <c r="P108" s="290"/>
      <c r="Q108" s="290"/>
      <c r="R108" s="290"/>
      <c r="S108" s="290"/>
      <c r="T108" s="290"/>
      <c r="U108" s="290"/>
      <c r="V108" s="290"/>
      <c r="W108" s="290"/>
      <c r="X108" s="290"/>
      <c r="Y108" s="290"/>
      <c r="Z108" s="290"/>
      <c r="AA108" s="290"/>
      <c r="AB108" s="290"/>
      <c r="AC108" s="290"/>
      <c r="AD108" s="290"/>
    </row>
    <row r="109" ht="12.75" customHeight="1">
      <c r="A109" s="437"/>
      <c r="B109" s="427"/>
      <c r="C109" s="427"/>
      <c r="D109" s="438"/>
      <c r="E109" s="438"/>
      <c r="F109" s="438"/>
      <c r="G109" s="438"/>
      <c r="H109" s="438"/>
      <c r="I109" s="439"/>
      <c r="J109" s="439"/>
      <c r="K109" s="439"/>
      <c r="L109" s="439"/>
      <c r="M109" s="439"/>
      <c r="N109" s="427"/>
      <c r="O109" s="427"/>
      <c r="P109" s="290"/>
      <c r="Q109" s="290"/>
      <c r="R109" s="290"/>
      <c r="S109" s="290"/>
      <c r="T109" s="290"/>
      <c r="U109" s="290"/>
      <c r="V109" s="290"/>
      <c r="W109" s="290"/>
      <c r="X109" s="290"/>
      <c r="Y109" s="290"/>
      <c r="Z109" s="290"/>
      <c r="AA109" s="290"/>
      <c r="AB109" s="290"/>
      <c r="AC109" s="290"/>
      <c r="AD109" s="290"/>
    </row>
    <row r="110" ht="12.75" customHeight="1">
      <c r="A110" s="437"/>
      <c r="B110" s="427"/>
      <c r="C110" s="427"/>
      <c r="D110" s="438"/>
      <c r="E110" s="438"/>
      <c r="F110" s="438"/>
      <c r="G110" s="438"/>
      <c r="H110" s="438"/>
      <c r="I110" s="439"/>
      <c r="J110" s="439"/>
      <c r="K110" s="439"/>
      <c r="L110" s="439"/>
      <c r="M110" s="439"/>
      <c r="N110" s="427"/>
      <c r="O110" s="427"/>
      <c r="P110" s="290"/>
      <c r="Q110" s="290"/>
      <c r="R110" s="290"/>
      <c r="S110" s="290"/>
      <c r="T110" s="290"/>
      <c r="U110" s="290"/>
      <c r="V110" s="290"/>
      <c r="W110" s="290"/>
      <c r="X110" s="290"/>
      <c r="Y110" s="290"/>
      <c r="Z110" s="290"/>
      <c r="AA110" s="290"/>
      <c r="AB110" s="290"/>
      <c r="AC110" s="290"/>
      <c r="AD110" s="290"/>
    </row>
    <row r="111" ht="12.75" customHeight="1">
      <c r="A111" s="437"/>
      <c r="B111" s="427"/>
      <c r="C111" s="427"/>
      <c r="D111" s="438"/>
      <c r="E111" s="438"/>
      <c r="F111" s="438"/>
      <c r="G111" s="438"/>
      <c r="H111" s="438"/>
      <c r="I111" s="439"/>
      <c r="J111" s="439"/>
      <c r="K111" s="439"/>
      <c r="L111" s="439"/>
      <c r="M111" s="439"/>
      <c r="N111" s="427"/>
      <c r="O111" s="427"/>
      <c r="P111" s="290"/>
      <c r="Q111" s="290"/>
      <c r="R111" s="290"/>
      <c r="S111" s="290"/>
      <c r="T111" s="290"/>
      <c r="U111" s="290"/>
      <c r="V111" s="290"/>
      <c r="W111" s="290"/>
      <c r="X111" s="290"/>
      <c r="Y111" s="290"/>
      <c r="Z111" s="290"/>
      <c r="AA111" s="290"/>
      <c r="AB111" s="290"/>
      <c r="AC111" s="290"/>
      <c r="AD111" s="290"/>
    </row>
    <row r="112" ht="12.75" customHeight="1">
      <c r="A112" s="437"/>
      <c r="B112" s="427"/>
      <c r="C112" s="427"/>
      <c r="D112" s="438"/>
      <c r="E112" s="438"/>
      <c r="F112" s="438"/>
      <c r="G112" s="438"/>
      <c r="H112" s="438"/>
      <c r="I112" s="439"/>
      <c r="J112" s="439"/>
      <c r="K112" s="439"/>
      <c r="L112" s="439"/>
      <c r="M112" s="439"/>
      <c r="N112" s="427"/>
      <c r="O112" s="427"/>
      <c r="P112" s="290"/>
      <c r="Q112" s="290"/>
      <c r="R112" s="290"/>
      <c r="S112" s="290"/>
      <c r="T112" s="290"/>
      <c r="U112" s="290"/>
      <c r="V112" s="290"/>
      <c r="W112" s="290"/>
      <c r="X112" s="290"/>
      <c r="Y112" s="290"/>
      <c r="Z112" s="290"/>
      <c r="AA112" s="290"/>
      <c r="AB112" s="290"/>
      <c r="AC112" s="290"/>
      <c r="AD112" s="290"/>
    </row>
    <row r="113" ht="12.75" customHeight="1">
      <c r="A113" s="437"/>
      <c r="B113" s="427"/>
      <c r="C113" s="427"/>
      <c r="D113" s="438"/>
      <c r="E113" s="438"/>
      <c r="F113" s="438"/>
      <c r="G113" s="438"/>
      <c r="H113" s="438"/>
      <c r="I113" s="439"/>
      <c r="J113" s="439"/>
      <c r="K113" s="439"/>
      <c r="L113" s="439"/>
      <c r="M113" s="439"/>
      <c r="N113" s="427"/>
      <c r="O113" s="427"/>
      <c r="P113" s="290"/>
      <c r="Q113" s="290"/>
      <c r="R113" s="290"/>
      <c r="S113" s="290"/>
      <c r="T113" s="290"/>
      <c r="U113" s="290"/>
      <c r="V113" s="290"/>
      <c r="W113" s="290"/>
      <c r="X113" s="290"/>
      <c r="Y113" s="290"/>
      <c r="Z113" s="290"/>
      <c r="AA113" s="290"/>
      <c r="AB113" s="290"/>
      <c r="AC113" s="290"/>
      <c r="AD113" s="290"/>
    </row>
    <row r="114" ht="12.75" customHeight="1">
      <c r="A114" s="437"/>
      <c r="B114" s="427"/>
      <c r="C114" s="427"/>
      <c r="D114" s="438"/>
      <c r="E114" s="438"/>
      <c r="F114" s="438"/>
      <c r="G114" s="438"/>
      <c r="H114" s="438"/>
      <c r="I114" s="439"/>
      <c r="J114" s="439"/>
      <c r="K114" s="439"/>
      <c r="L114" s="439"/>
      <c r="M114" s="439"/>
      <c r="N114" s="427"/>
      <c r="O114" s="427"/>
      <c r="P114" s="290"/>
      <c r="Q114" s="290"/>
      <c r="R114" s="290"/>
      <c r="S114" s="290"/>
      <c r="T114" s="290"/>
      <c r="U114" s="290"/>
      <c r="V114" s="290"/>
      <c r="W114" s="290"/>
      <c r="X114" s="290"/>
      <c r="Y114" s="290"/>
      <c r="Z114" s="290"/>
      <c r="AA114" s="290"/>
      <c r="AB114" s="290"/>
      <c r="AC114" s="290"/>
      <c r="AD114" s="290"/>
    </row>
    <row r="115" ht="12.75" customHeight="1">
      <c r="A115" s="437"/>
      <c r="B115" s="427"/>
      <c r="C115" s="427"/>
      <c r="D115" s="438"/>
      <c r="E115" s="438"/>
      <c r="F115" s="438"/>
      <c r="G115" s="438"/>
      <c r="H115" s="438"/>
      <c r="I115" s="439"/>
      <c r="J115" s="439"/>
      <c r="K115" s="439"/>
      <c r="L115" s="439"/>
      <c r="M115" s="439"/>
      <c r="N115" s="427"/>
      <c r="O115" s="427"/>
      <c r="P115" s="290"/>
      <c r="Q115" s="290"/>
      <c r="R115" s="290"/>
      <c r="S115" s="290"/>
      <c r="T115" s="290"/>
      <c r="U115" s="290"/>
      <c r="V115" s="290"/>
      <c r="W115" s="290"/>
      <c r="X115" s="290"/>
      <c r="Y115" s="290"/>
      <c r="Z115" s="290"/>
      <c r="AA115" s="290"/>
      <c r="AB115" s="290"/>
      <c r="AC115" s="290"/>
      <c r="AD115" s="290"/>
    </row>
    <row r="116" ht="12.75" customHeight="1">
      <c r="A116" s="437"/>
      <c r="B116" s="427"/>
      <c r="C116" s="427"/>
      <c r="D116" s="438"/>
      <c r="E116" s="438"/>
      <c r="F116" s="438"/>
      <c r="G116" s="438"/>
      <c r="H116" s="438"/>
      <c r="I116" s="439"/>
      <c r="J116" s="439"/>
      <c r="K116" s="439"/>
      <c r="L116" s="439"/>
      <c r="M116" s="439"/>
      <c r="N116" s="427"/>
      <c r="O116" s="427"/>
      <c r="P116" s="290"/>
      <c r="Q116" s="290"/>
      <c r="R116" s="290"/>
      <c r="S116" s="290"/>
      <c r="T116" s="290"/>
      <c r="U116" s="290"/>
      <c r="V116" s="290"/>
      <c r="W116" s="290"/>
      <c r="X116" s="290"/>
      <c r="Y116" s="290"/>
      <c r="Z116" s="290"/>
      <c r="AA116" s="290"/>
      <c r="AB116" s="290"/>
      <c r="AC116" s="290"/>
      <c r="AD116" s="290"/>
    </row>
    <row r="117" ht="12.75" customHeight="1">
      <c r="A117" s="437"/>
      <c r="B117" s="427"/>
      <c r="C117" s="427"/>
      <c r="D117" s="438"/>
      <c r="E117" s="438"/>
      <c r="F117" s="438"/>
      <c r="G117" s="438"/>
      <c r="H117" s="438"/>
      <c r="I117" s="439"/>
      <c r="J117" s="439"/>
      <c r="K117" s="439"/>
      <c r="L117" s="439"/>
      <c r="M117" s="439"/>
      <c r="N117" s="427"/>
      <c r="O117" s="427"/>
      <c r="P117" s="290"/>
      <c r="Q117" s="290"/>
      <c r="R117" s="290"/>
      <c r="S117" s="290"/>
      <c r="T117" s="290"/>
      <c r="U117" s="290"/>
      <c r="V117" s="290"/>
      <c r="W117" s="290"/>
      <c r="X117" s="290"/>
      <c r="Y117" s="290"/>
      <c r="Z117" s="290"/>
      <c r="AA117" s="290"/>
      <c r="AB117" s="290"/>
      <c r="AC117" s="290"/>
      <c r="AD117" s="290"/>
    </row>
    <row r="118" ht="12.75" customHeight="1">
      <c r="A118" s="437"/>
      <c r="B118" s="427"/>
      <c r="C118" s="427"/>
      <c r="D118" s="438"/>
      <c r="E118" s="438"/>
      <c r="F118" s="438"/>
      <c r="G118" s="438"/>
      <c r="H118" s="438"/>
      <c r="I118" s="439"/>
      <c r="J118" s="439"/>
      <c r="K118" s="439"/>
      <c r="L118" s="439"/>
      <c r="M118" s="439"/>
      <c r="N118" s="427"/>
      <c r="O118" s="427"/>
      <c r="P118" s="290"/>
      <c r="Q118" s="290"/>
      <c r="R118" s="290"/>
      <c r="S118" s="290"/>
      <c r="T118" s="290"/>
      <c r="U118" s="290"/>
      <c r="V118" s="290"/>
      <c r="W118" s="290"/>
      <c r="X118" s="290"/>
      <c r="Y118" s="290"/>
      <c r="Z118" s="290"/>
      <c r="AA118" s="290"/>
      <c r="AB118" s="290"/>
      <c r="AC118" s="290"/>
      <c r="AD118" s="290"/>
    </row>
    <row r="119" ht="12.75" customHeight="1">
      <c r="A119" s="437"/>
      <c r="B119" s="427"/>
      <c r="C119" s="427"/>
      <c r="D119" s="438"/>
      <c r="E119" s="438"/>
      <c r="F119" s="438"/>
      <c r="G119" s="438"/>
      <c r="H119" s="438"/>
      <c r="I119" s="439"/>
      <c r="J119" s="439"/>
      <c r="K119" s="439"/>
      <c r="L119" s="439"/>
      <c r="M119" s="439"/>
      <c r="N119" s="427"/>
      <c r="O119" s="427"/>
      <c r="P119" s="290"/>
      <c r="Q119" s="290"/>
      <c r="R119" s="290"/>
      <c r="S119" s="290"/>
      <c r="T119" s="290"/>
      <c r="U119" s="290"/>
      <c r="V119" s="290"/>
      <c r="W119" s="290"/>
      <c r="X119" s="290"/>
      <c r="Y119" s="290"/>
      <c r="Z119" s="290"/>
      <c r="AA119" s="290"/>
      <c r="AB119" s="290"/>
      <c r="AC119" s="290"/>
      <c r="AD119" s="290"/>
    </row>
    <row r="120" ht="12.75" customHeight="1">
      <c r="A120" s="437"/>
      <c r="B120" s="427"/>
      <c r="C120" s="427"/>
      <c r="D120" s="438"/>
      <c r="E120" s="438"/>
      <c r="F120" s="438"/>
      <c r="G120" s="438"/>
      <c r="H120" s="438"/>
      <c r="I120" s="439"/>
      <c r="J120" s="439"/>
      <c r="K120" s="439"/>
      <c r="L120" s="439"/>
      <c r="M120" s="439"/>
      <c r="N120" s="427"/>
      <c r="O120" s="427"/>
      <c r="P120" s="290"/>
      <c r="Q120" s="290"/>
      <c r="R120" s="290"/>
      <c r="S120" s="290"/>
      <c r="T120" s="290"/>
      <c r="U120" s="290"/>
      <c r="V120" s="290"/>
      <c r="W120" s="290"/>
      <c r="X120" s="290"/>
      <c r="Y120" s="290"/>
      <c r="Z120" s="290"/>
      <c r="AA120" s="290"/>
      <c r="AB120" s="290"/>
      <c r="AC120" s="290"/>
      <c r="AD120" s="290"/>
    </row>
    <row r="121" ht="12.75" customHeight="1">
      <c r="A121" s="437"/>
      <c r="B121" s="427"/>
      <c r="C121" s="427"/>
      <c r="D121" s="438"/>
      <c r="E121" s="438"/>
      <c r="F121" s="438"/>
      <c r="G121" s="438"/>
      <c r="H121" s="438"/>
      <c r="I121" s="439"/>
      <c r="J121" s="439"/>
      <c r="K121" s="439"/>
      <c r="L121" s="439"/>
      <c r="M121" s="439"/>
      <c r="N121" s="427"/>
      <c r="O121" s="427"/>
      <c r="P121" s="290"/>
      <c r="Q121" s="290"/>
      <c r="R121" s="290"/>
      <c r="S121" s="290"/>
      <c r="T121" s="290"/>
      <c r="U121" s="290"/>
      <c r="V121" s="290"/>
      <c r="W121" s="290"/>
      <c r="X121" s="290"/>
      <c r="Y121" s="290"/>
      <c r="Z121" s="290"/>
      <c r="AA121" s="290"/>
      <c r="AB121" s="290"/>
      <c r="AC121" s="290"/>
      <c r="AD121" s="290"/>
    </row>
    <row r="122" ht="12.75" customHeight="1">
      <c r="A122" s="437"/>
      <c r="B122" s="427"/>
      <c r="C122" s="427"/>
      <c r="D122" s="438"/>
      <c r="E122" s="438"/>
      <c r="F122" s="438"/>
      <c r="G122" s="438"/>
      <c r="H122" s="438"/>
      <c r="I122" s="439"/>
      <c r="J122" s="439"/>
      <c r="K122" s="439"/>
      <c r="L122" s="439"/>
      <c r="M122" s="439"/>
      <c r="N122" s="427"/>
      <c r="O122" s="427"/>
      <c r="P122" s="290"/>
      <c r="Q122" s="290"/>
      <c r="R122" s="290"/>
      <c r="S122" s="290"/>
      <c r="T122" s="290"/>
      <c r="U122" s="290"/>
      <c r="V122" s="290"/>
      <c r="W122" s="290"/>
      <c r="X122" s="290"/>
      <c r="Y122" s="290"/>
      <c r="Z122" s="290"/>
      <c r="AA122" s="290"/>
      <c r="AB122" s="290"/>
      <c r="AC122" s="290"/>
      <c r="AD122" s="290"/>
    </row>
    <row r="123" ht="12.75" customHeight="1">
      <c r="A123" s="437"/>
      <c r="B123" s="427"/>
      <c r="C123" s="427"/>
      <c r="D123" s="438"/>
      <c r="E123" s="438"/>
      <c r="F123" s="438"/>
      <c r="G123" s="438"/>
      <c r="H123" s="438"/>
      <c r="I123" s="439"/>
      <c r="J123" s="439"/>
      <c r="K123" s="439"/>
      <c r="L123" s="439"/>
      <c r="M123" s="439"/>
      <c r="N123" s="427"/>
      <c r="O123" s="427"/>
      <c r="P123" s="290"/>
      <c r="Q123" s="290"/>
      <c r="R123" s="290"/>
      <c r="S123" s="290"/>
      <c r="T123" s="290"/>
      <c r="U123" s="290"/>
      <c r="V123" s="290"/>
      <c r="W123" s="290"/>
      <c r="X123" s="290"/>
      <c r="Y123" s="290"/>
      <c r="Z123" s="290"/>
      <c r="AA123" s="290"/>
      <c r="AB123" s="290"/>
      <c r="AC123" s="290"/>
      <c r="AD123" s="290"/>
    </row>
    <row r="124" ht="12.75" customHeight="1">
      <c r="A124" s="437"/>
      <c r="B124" s="427"/>
      <c r="C124" s="427"/>
      <c r="D124" s="438"/>
      <c r="E124" s="438"/>
      <c r="F124" s="438"/>
      <c r="G124" s="438"/>
      <c r="H124" s="438"/>
      <c r="I124" s="439"/>
      <c r="J124" s="439"/>
      <c r="K124" s="439"/>
      <c r="L124" s="439"/>
      <c r="M124" s="439"/>
      <c r="N124" s="427"/>
      <c r="O124" s="427"/>
      <c r="P124" s="290"/>
      <c r="Q124" s="290"/>
      <c r="R124" s="290"/>
      <c r="S124" s="290"/>
      <c r="T124" s="290"/>
      <c r="U124" s="290"/>
      <c r="V124" s="290"/>
      <c r="W124" s="290"/>
      <c r="X124" s="290"/>
      <c r="Y124" s="290"/>
      <c r="Z124" s="290"/>
      <c r="AA124" s="290"/>
      <c r="AB124" s="290"/>
      <c r="AC124" s="290"/>
      <c r="AD124" s="290"/>
    </row>
    <row r="125" ht="12.75" customHeight="1">
      <c r="A125" s="437"/>
      <c r="B125" s="427"/>
      <c r="C125" s="427"/>
      <c r="D125" s="438"/>
      <c r="E125" s="438"/>
      <c r="F125" s="438"/>
      <c r="G125" s="438"/>
      <c r="H125" s="438"/>
      <c r="I125" s="439"/>
      <c r="J125" s="439"/>
      <c r="K125" s="439"/>
      <c r="L125" s="439"/>
      <c r="M125" s="439"/>
      <c r="N125" s="427"/>
      <c r="O125" s="427"/>
      <c r="P125" s="290"/>
      <c r="Q125" s="290"/>
      <c r="R125" s="290"/>
      <c r="S125" s="290"/>
      <c r="T125" s="290"/>
      <c r="U125" s="290"/>
      <c r="V125" s="290"/>
      <c r="W125" s="290"/>
      <c r="X125" s="290"/>
      <c r="Y125" s="290"/>
      <c r="Z125" s="290"/>
      <c r="AA125" s="290"/>
      <c r="AB125" s="290"/>
      <c r="AC125" s="290"/>
      <c r="AD125" s="290"/>
    </row>
    <row r="126" ht="12.75" customHeight="1">
      <c r="A126" s="437"/>
      <c r="B126" s="427"/>
      <c r="C126" s="427"/>
      <c r="D126" s="438"/>
      <c r="E126" s="438"/>
      <c r="F126" s="438"/>
      <c r="G126" s="438"/>
      <c r="H126" s="438"/>
      <c r="I126" s="439"/>
      <c r="J126" s="439"/>
      <c r="K126" s="439"/>
      <c r="L126" s="439"/>
      <c r="M126" s="439"/>
      <c r="N126" s="427"/>
      <c r="O126" s="427"/>
      <c r="P126" s="290"/>
      <c r="Q126" s="290"/>
      <c r="R126" s="290"/>
      <c r="S126" s="290"/>
      <c r="T126" s="290"/>
      <c r="U126" s="290"/>
      <c r="V126" s="290"/>
      <c r="W126" s="290"/>
      <c r="X126" s="290"/>
      <c r="Y126" s="290"/>
      <c r="Z126" s="290"/>
      <c r="AA126" s="290"/>
      <c r="AB126" s="290"/>
      <c r="AC126" s="290"/>
      <c r="AD126" s="290"/>
    </row>
    <row r="127" ht="12.75" customHeight="1">
      <c r="A127" s="437"/>
      <c r="B127" s="427"/>
      <c r="C127" s="427"/>
      <c r="D127" s="438"/>
      <c r="E127" s="438"/>
      <c r="F127" s="438"/>
      <c r="G127" s="438"/>
      <c r="H127" s="438"/>
      <c r="I127" s="439"/>
      <c r="J127" s="439"/>
      <c r="K127" s="439"/>
      <c r="L127" s="439"/>
      <c r="M127" s="439"/>
      <c r="N127" s="427"/>
      <c r="O127" s="427"/>
      <c r="P127" s="290"/>
      <c r="Q127" s="290"/>
      <c r="R127" s="290"/>
      <c r="S127" s="290"/>
      <c r="T127" s="290"/>
      <c r="U127" s="290"/>
      <c r="V127" s="290"/>
      <c r="W127" s="290"/>
      <c r="X127" s="290"/>
      <c r="Y127" s="290"/>
      <c r="Z127" s="290"/>
      <c r="AA127" s="290"/>
      <c r="AB127" s="290"/>
      <c r="AC127" s="290"/>
      <c r="AD127" s="290"/>
    </row>
    <row r="128" ht="12.75" customHeight="1">
      <c r="A128" s="437"/>
      <c r="B128" s="427"/>
      <c r="C128" s="427"/>
      <c r="D128" s="438"/>
      <c r="E128" s="438"/>
      <c r="F128" s="438"/>
      <c r="G128" s="438"/>
      <c r="H128" s="438"/>
      <c r="I128" s="439"/>
      <c r="J128" s="439"/>
      <c r="K128" s="439"/>
      <c r="L128" s="439"/>
      <c r="M128" s="439"/>
      <c r="N128" s="427"/>
      <c r="O128" s="427"/>
      <c r="P128" s="290"/>
      <c r="Q128" s="290"/>
      <c r="R128" s="290"/>
      <c r="S128" s="290"/>
      <c r="T128" s="290"/>
      <c r="U128" s="290"/>
      <c r="V128" s="290"/>
      <c r="W128" s="290"/>
      <c r="X128" s="290"/>
      <c r="Y128" s="290"/>
      <c r="Z128" s="290"/>
      <c r="AA128" s="290"/>
      <c r="AB128" s="290"/>
      <c r="AC128" s="290"/>
      <c r="AD128" s="290"/>
    </row>
    <row r="129" ht="12.75" customHeight="1">
      <c r="A129" s="437"/>
      <c r="B129" s="427"/>
      <c r="C129" s="427"/>
      <c r="D129" s="438"/>
      <c r="E129" s="438"/>
      <c r="F129" s="438"/>
      <c r="G129" s="438"/>
      <c r="H129" s="438"/>
      <c r="I129" s="439"/>
      <c r="J129" s="439"/>
      <c r="K129" s="439"/>
      <c r="L129" s="439"/>
      <c r="M129" s="439"/>
      <c r="N129" s="427"/>
      <c r="O129" s="427"/>
      <c r="P129" s="290"/>
      <c r="Q129" s="290"/>
      <c r="R129" s="290"/>
      <c r="S129" s="290"/>
      <c r="T129" s="290"/>
      <c r="U129" s="290"/>
      <c r="V129" s="290"/>
      <c r="W129" s="290"/>
      <c r="X129" s="290"/>
      <c r="Y129" s="290"/>
      <c r="Z129" s="290"/>
      <c r="AA129" s="290"/>
      <c r="AB129" s="290"/>
      <c r="AC129" s="290"/>
      <c r="AD129" s="290"/>
    </row>
    <row r="130" ht="12.75" customHeight="1">
      <c r="A130" s="437"/>
      <c r="B130" s="427"/>
      <c r="C130" s="427"/>
      <c r="D130" s="438"/>
      <c r="E130" s="438"/>
      <c r="F130" s="438"/>
      <c r="G130" s="438"/>
      <c r="H130" s="438"/>
      <c r="I130" s="439"/>
      <c r="J130" s="439"/>
      <c r="K130" s="439"/>
      <c r="L130" s="439"/>
      <c r="M130" s="439"/>
      <c r="N130" s="427"/>
      <c r="O130" s="427"/>
      <c r="P130" s="290"/>
      <c r="Q130" s="290"/>
      <c r="R130" s="290"/>
      <c r="S130" s="290"/>
      <c r="T130" s="290"/>
      <c r="U130" s="290"/>
      <c r="V130" s="290"/>
      <c r="W130" s="290"/>
      <c r="X130" s="290"/>
      <c r="Y130" s="290"/>
      <c r="Z130" s="290"/>
      <c r="AA130" s="290"/>
      <c r="AB130" s="290"/>
      <c r="AC130" s="290"/>
      <c r="AD130" s="290"/>
    </row>
    <row r="131" ht="12.75" customHeight="1">
      <c r="A131" s="437"/>
      <c r="B131" s="427"/>
      <c r="C131" s="427"/>
      <c r="D131" s="438"/>
      <c r="E131" s="438"/>
      <c r="F131" s="438"/>
      <c r="G131" s="438"/>
      <c r="H131" s="438"/>
      <c r="I131" s="439"/>
      <c r="J131" s="439"/>
      <c r="K131" s="439"/>
      <c r="L131" s="439"/>
      <c r="M131" s="439"/>
      <c r="N131" s="427"/>
      <c r="O131" s="427"/>
      <c r="P131" s="290"/>
      <c r="Q131" s="290"/>
      <c r="R131" s="290"/>
      <c r="S131" s="290"/>
      <c r="T131" s="290"/>
      <c r="U131" s="290"/>
      <c r="V131" s="290"/>
      <c r="W131" s="290"/>
      <c r="X131" s="290"/>
      <c r="Y131" s="290"/>
      <c r="Z131" s="290"/>
      <c r="AA131" s="290"/>
      <c r="AB131" s="290"/>
      <c r="AC131" s="290"/>
      <c r="AD131" s="290"/>
    </row>
    <row r="132" ht="12.75" customHeight="1">
      <c r="A132" s="437"/>
      <c r="B132" s="427"/>
      <c r="C132" s="427"/>
      <c r="D132" s="438"/>
      <c r="E132" s="438"/>
      <c r="F132" s="438"/>
      <c r="G132" s="438"/>
      <c r="H132" s="438"/>
      <c r="I132" s="439"/>
      <c r="J132" s="439"/>
      <c r="K132" s="439"/>
      <c r="L132" s="439"/>
      <c r="M132" s="439"/>
      <c r="N132" s="427"/>
      <c r="O132" s="427"/>
      <c r="P132" s="290"/>
      <c r="Q132" s="290"/>
      <c r="R132" s="290"/>
      <c r="S132" s="290"/>
      <c r="T132" s="290"/>
      <c r="U132" s="290"/>
      <c r="V132" s="290"/>
      <c r="W132" s="290"/>
      <c r="X132" s="290"/>
      <c r="Y132" s="290"/>
      <c r="Z132" s="290"/>
      <c r="AA132" s="290"/>
      <c r="AB132" s="290"/>
      <c r="AC132" s="290"/>
      <c r="AD132" s="290"/>
    </row>
    <row r="133" ht="12.75" customHeight="1">
      <c r="A133" s="437"/>
      <c r="B133" s="427"/>
      <c r="C133" s="427"/>
      <c r="D133" s="438"/>
      <c r="E133" s="438"/>
      <c r="F133" s="438"/>
      <c r="G133" s="438"/>
      <c r="H133" s="438"/>
      <c r="I133" s="439"/>
      <c r="J133" s="439"/>
      <c r="K133" s="439"/>
      <c r="L133" s="439"/>
      <c r="M133" s="439"/>
      <c r="N133" s="427"/>
      <c r="O133" s="427"/>
      <c r="P133" s="290"/>
      <c r="Q133" s="290"/>
      <c r="R133" s="290"/>
      <c r="S133" s="290"/>
      <c r="T133" s="290"/>
      <c r="U133" s="290"/>
      <c r="V133" s="290"/>
      <c r="W133" s="290"/>
      <c r="X133" s="290"/>
      <c r="Y133" s="290"/>
      <c r="Z133" s="290"/>
      <c r="AA133" s="290"/>
      <c r="AB133" s="290"/>
      <c r="AC133" s="290"/>
      <c r="AD133" s="290"/>
    </row>
    <row r="134" ht="12.75" customHeight="1">
      <c r="A134" s="437"/>
      <c r="B134" s="427"/>
      <c r="C134" s="427"/>
      <c r="D134" s="438"/>
      <c r="E134" s="438"/>
      <c r="F134" s="438"/>
      <c r="G134" s="438"/>
      <c r="H134" s="438"/>
      <c r="I134" s="439"/>
      <c r="J134" s="439"/>
      <c r="K134" s="439"/>
      <c r="L134" s="439"/>
      <c r="M134" s="439"/>
      <c r="N134" s="427"/>
      <c r="O134" s="427"/>
      <c r="P134" s="290"/>
      <c r="Q134" s="290"/>
      <c r="R134" s="290"/>
      <c r="S134" s="290"/>
      <c r="T134" s="290"/>
      <c r="U134" s="290"/>
      <c r="V134" s="290"/>
      <c r="W134" s="290"/>
      <c r="X134" s="290"/>
      <c r="Y134" s="290"/>
      <c r="Z134" s="290"/>
      <c r="AA134" s="290"/>
      <c r="AB134" s="290"/>
      <c r="AC134" s="290"/>
      <c r="AD134" s="290"/>
    </row>
    <row r="135" ht="12.75" customHeight="1">
      <c r="A135" s="437"/>
      <c r="B135" s="427"/>
      <c r="C135" s="427"/>
      <c r="D135" s="438"/>
      <c r="E135" s="438"/>
      <c r="F135" s="438"/>
      <c r="G135" s="438"/>
      <c r="H135" s="438"/>
      <c r="I135" s="439"/>
      <c r="J135" s="439"/>
      <c r="K135" s="439"/>
      <c r="L135" s="439"/>
      <c r="M135" s="439"/>
      <c r="N135" s="427"/>
      <c r="O135" s="427"/>
      <c r="P135" s="290"/>
      <c r="Q135" s="290"/>
      <c r="R135" s="290"/>
      <c r="S135" s="290"/>
      <c r="T135" s="290"/>
      <c r="U135" s="290"/>
      <c r="V135" s="290"/>
      <c r="W135" s="290"/>
      <c r="X135" s="290"/>
      <c r="Y135" s="290"/>
      <c r="Z135" s="290"/>
      <c r="AA135" s="290"/>
      <c r="AB135" s="290"/>
      <c r="AC135" s="290"/>
      <c r="AD135" s="290"/>
    </row>
    <row r="136" ht="12.75" customHeight="1">
      <c r="A136" s="437"/>
      <c r="B136" s="427"/>
      <c r="C136" s="427"/>
      <c r="D136" s="438"/>
      <c r="E136" s="438"/>
      <c r="F136" s="438"/>
      <c r="G136" s="438"/>
      <c r="H136" s="438"/>
      <c r="I136" s="439"/>
      <c r="J136" s="439"/>
      <c r="K136" s="439"/>
      <c r="L136" s="439"/>
      <c r="M136" s="439"/>
      <c r="N136" s="427"/>
      <c r="O136" s="427"/>
      <c r="P136" s="290"/>
      <c r="Q136" s="290"/>
      <c r="R136" s="290"/>
      <c r="S136" s="290"/>
      <c r="T136" s="290"/>
      <c r="U136" s="290"/>
      <c r="V136" s="290"/>
      <c r="W136" s="290"/>
      <c r="X136" s="290"/>
      <c r="Y136" s="290"/>
      <c r="Z136" s="290"/>
      <c r="AA136" s="290"/>
      <c r="AB136" s="290"/>
      <c r="AC136" s="290"/>
      <c r="AD136" s="290"/>
    </row>
    <row r="137" ht="12.75" customHeight="1">
      <c r="A137" s="437"/>
      <c r="B137" s="427"/>
      <c r="C137" s="427"/>
      <c r="D137" s="438"/>
      <c r="E137" s="438"/>
      <c r="F137" s="438"/>
      <c r="G137" s="438"/>
      <c r="H137" s="438"/>
      <c r="I137" s="439"/>
      <c r="J137" s="439"/>
      <c r="K137" s="439"/>
      <c r="L137" s="439"/>
      <c r="M137" s="439"/>
      <c r="N137" s="427"/>
      <c r="O137" s="427"/>
      <c r="P137" s="290"/>
      <c r="Q137" s="290"/>
      <c r="R137" s="290"/>
      <c r="S137" s="290"/>
      <c r="T137" s="290"/>
      <c r="U137" s="290"/>
      <c r="V137" s="290"/>
      <c r="W137" s="290"/>
      <c r="X137" s="290"/>
      <c r="Y137" s="290"/>
      <c r="Z137" s="290"/>
      <c r="AA137" s="290"/>
      <c r="AB137" s="290"/>
      <c r="AC137" s="290"/>
      <c r="AD137" s="290"/>
    </row>
    <row r="138" ht="12.75" customHeight="1">
      <c r="A138" s="437"/>
      <c r="B138" s="427"/>
      <c r="C138" s="427"/>
      <c r="D138" s="438"/>
      <c r="E138" s="438"/>
      <c r="F138" s="438"/>
      <c r="G138" s="438"/>
      <c r="H138" s="438"/>
      <c r="I138" s="439"/>
      <c r="J138" s="439"/>
      <c r="K138" s="439"/>
      <c r="L138" s="439"/>
      <c r="M138" s="439"/>
      <c r="N138" s="427"/>
      <c r="O138" s="427"/>
      <c r="P138" s="290"/>
      <c r="Q138" s="290"/>
      <c r="R138" s="290"/>
      <c r="S138" s="290"/>
      <c r="T138" s="290"/>
      <c r="U138" s="290"/>
      <c r="V138" s="290"/>
      <c r="W138" s="290"/>
      <c r="X138" s="290"/>
      <c r="Y138" s="290"/>
      <c r="Z138" s="290"/>
      <c r="AA138" s="290"/>
      <c r="AB138" s="290"/>
      <c r="AC138" s="290"/>
      <c r="AD138" s="290"/>
    </row>
    <row r="139" ht="12.75" customHeight="1">
      <c r="A139" s="437"/>
      <c r="B139" s="427"/>
      <c r="C139" s="427"/>
      <c r="D139" s="438"/>
      <c r="E139" s="438"/>
      <c r="F139" s="438"/>
      <c r="G139" s="438"/>
      <c r="H139" s="438"/>
      <c r="I139" s="439"/>
      <c r="J139" s="439"/>
      <c r="K139" s="439"/>
      <c r="L139" s="439"/>
      <c r="M139" s="439"/>
      <c r="N139" s="427"/>
      <c r="O139" s="427"/>
      <c r="P139" s="290"/>
      <c r="Q139" s="290"/>
      <c r="R139" s="290"/>
      <c r="S139" s="290"/>
      <c r="T139" s="290"/>
      <c r="U139" s="290"/>
      <c r="V139" s="290"/>
      <c r="W139" s="290"/>
      <c r="X139" s="290"/>
      <c r="Y139" s="290"/>
      <c r="Z139" s="290"/>
      <c r="AA139" s="290"/>
      <c r="AB139" s="290"/>
      <c r="AC139" s="290"/>
      <c r="AD139" s="290"/>
    </row>
    <row r="140" ht="12.75" customHeight="1">
      <c r="A140" s="437"/>
      <c r="B140" s="427"/>
      <c r="C140" s="427"/>
      <c r="D140" s="438"/>
      <c r="E140" s="438"/>
      <c r="F140" s="438"/>
      <c r="G140" s="438"/>
      <c r="H140" s="438"/>
      <c r="I140" s="439"/>
      <c r="J140" s="439"/>
      <c r="K140" s="439"/>
      <c r="L140" s="439"/>
      <c r="M140" s="439"/>
      <c r="N140" s="427"/>
      <c r="O140" s="427"/>
      <c r="P140" s="290"/>
      <c r="Q140" s="290"/>
      <c r="R140" s="290"/>
      <c r="S140" s="290"/>
      <c r="T140" s="290"/>
      <c r="U140" s="290"/>
      <c r="V140" s="290"/>
      <c r="W140" s="290"/>
      <c r="X140" s="290"/>
      <c r="Y140" s="290"/>
      <c r="Z140" s="290"/>
      <c r="AA140" s="290"/>
      <c r="AB140" s="290"/>
      <c r="AC140" s="290"/>
      <c r="AD140" s="290"/>
    </row>
    <row r="141" ht="12.75" customHeight="1">
      <c r="A141" s="437"/>
      <c r="B141" s="427"/>
      <c r="C141" s="427"/>
      <c r="D141" s="438"/>
      <c r="E141" s="438"/>
      <c r="F141" s="438"/>
      <c r="G141" s="438"/>
      <c r="H141" s="438"/>
      <c r="I141" s="439"/>
      <c r="J141" s="439"/>
      <c r="K141" s="439"/>
      <c r="L141" s="439"/>
      <c r="M141" s="439"/>
      <c r="N141" s="427"/>
      <c r="O141" s="427"/>
      <c r="P141" s="290"/>
      <c r="Q141" s="290"/>
      <c r="R141" s="290"/>
      <c r="S141" s="290"/>
      <c r="T141" s="290"/>
      <c r="U141" s="290"/>
      <c r="V141" s="290"/>
      <c r="W141" s="290"/>
      <c r="X141" s="290"/>
      <c r="Y141" s="290"/>
      <c r="Z141" s="290"/>
      <c r="AA141" s="290"/>
      <c r="AB141" s="290"/>
      <c r="AC141" s="290"/>
      <c r="AD141" s="290"/>
    </row>
    <row r="142" ht="12.75" customHeight="1">
      <c r="A142" s="437"/>
      <c r="B142" s="427"/>
      <c r="C142" s="427"/>
      <c r="D142" s="438"/>
      <c r="E142" s="438"/>
      <c r="F142" s="438"/>
      <c r="G142" s="438"/>
      <c r="H142" s="438"/>
      <c r="I142" s="439"/>
      <c r="J142" s="439"/>
      <c r="K142" s="439"/>
      <c r="L142" s="439"/>
      <c r="M142" s="439"/>
      <c r="N142" s="427"/>
      <c r="O142" s="427"/>
      <c r="P142" s="290"/>
      <c r="Q142" s="290"/>
      <c r="R142" s="290"/>
      <c r="S142" s="290"/>
      <c r="T142" s="290"/>
      <c r="U142" s="290"/>
      <c r="V142" s="290"/>
      <c r="W142" s="290"/>
      <c r="X142" s="290"/>
      <c r="Y142" s="290"/>
      <c r="Z142" s="290"/>
      <c r="AA142" s="290"/>
      <c r="AB142" s="290"/>
      <c r="AC142" s="290"/>
      <c r="AD142" s="290"/>
    </row>
    <row r="143" ht="12.75" customHeight="1">
      <c r="A143" s="437"/>
      <c r="B143" s="427"/>
      <c r="C143" s="427"/>
      <c r="D143" s="438"/>
      <c r="E143" s="438"/>
      <c r="F143" s="438"/>
      <c r="G143" s="438"/>
      <c r="H143" s="438"/>
      <c r="I143" s="439"/>
      <c r="J143" s="439"/>
      <c r="K143" s="439"/>
      <c r="L143" s="439"/>
      <c r="M143" s="439"/>
      <c r="N143" s="427"/>
      <c r="O143" s="427"/>
      <c r="P143" s="290"/>
      <c r="Q143" s="290"/>
      <c r="R143" s="290"/>
      <c r="S143" s="290"/>
      <c r="T143" s="290"/>
      <c r="U143" s="290"/>
      <c r="V143" s="290"/>
      <c r="W143" s="290"/>
      <c r="X143" s="290"/>
      <c r="Y143" s="290"/>
      <c r="Z143" s="290"/>
      <c r="AA143" s="290"/>
      <c r="AB143" s="290"/>
      <c r="AC143" s="290"/>
      <c r="AD143" s="290"/>
    </row>
    <row r="144" ht="12.75" customHeight="1">
      <c r="A144" s="437"/>
      <c r="B144" s="427"/>
      <c r="C144" s="427"/>
      <c r="D144" s="438"/>
      <c r="E144" s="438"/>
      <c r="F144" s="438"/>
      <c r="G144" s="438"/>
      <c r="H144" s="438"/>
      <c r="I144" s="439"/>
      <c r="J144" s="439"/>
      <c r="K144" s="439"/>
      <c r="L144" s="439"/>
      <c r="M144" s="439"/>
      <c r="N144" s="427"/>
      <c r="O144" s="427"/>
      <c r="P144" s="290"/>
      <c r="Q144" s="290"/>
      <c r="R144" s="290"/>
      <c r="S144" s="290"/>
      <c r="T144" s="290"/>
      <c r="U144" s="290"/>
      <c r="V144" s="290"/>
      <c r="W144" s="290"/>
      <c r="X144" s="290"/>
      <c r="Y144" s="290"/>
      <c r="Z144" s="290"/>
      <c r="AA144" s="290"/>
      <c r="AB144" s="290"/>
      <c r="AC144" s="290"/>
      <c r="AD144" s="290"/>
    </row>
    <row r="145" ht="12.75" customHeight="1">
      <c r="A145" s="437"/>
      <c r="B145" s="427"/>
      <c r="C145" s="427"/>
      <c r="D145" s="438"/>
      <c r="E145" s="438"/>
      <c r="F145" s="438"/>
      <c r="G145" s="438"/>
      <c r="H145" s="438"/>
      <c r="I145" s="439"/>
      <c r="J145" s="439"/>
      <c r="K145" s="439"/>
      <c r="L145" s="439"/>
      <c r="M145" s="439"/>
      <c r="N145" s="427"/>
      <c r="O145" s="427"/>
      <c r="P145" s="290"/>
      <c r="Q145" s="290"/>
      <c r="R145" s="290"/>
      <c r="S145" s="290"/>
      <c r="T145" s="290"/>
      <c r="U145" s="290"/>
      <c r="V145" s="290"/>
      <c r="W145" s="290"/>
      <c r="X145" s="290"/>
      <c r="Y145" s="290"/>
      <c r="Z145" s="290"/>
      <c r="AA145" s="290"/>
      <c r="AB145" s="290"/>
      <c r="AC145" s="290"/>
      <c r="AD145" s="290"/>
    </row>
    <row r="146" ht="12.75" customHeight="1">
      <c r="A146" s="437"/>
      <c r="B146" s="427"/>
      <c r="C146" s="427"/>
      <c r="D146" s="438"/>
      <c r="E146" s="438"/>
      <c r="F146" s="438"/>
      <c r="G146" s="438"/>
      <c r="H146" s="438"/>
      <c r="I146" s="439"/>
      <c r="J146" s="439"/>
      <c r="K146" s="439"/>
      <c r="L146" s="439"/>
      <c r="M146" s="439"/>
      <c r="N146" s="427"/>
      <c r="O146" s="427"/>
      <c r="P146" s="290"/>
      <c r="Q146" s="290"/>
      <c r="R146" s="290"/>
      <c r="S146" s="290"/>
      <c r="T146" s="290"/>
      <c r="U146" s="290"/>
      <c r="V146" s="290"/>
      <c r="W146" s="290"/>
      <c r="X146" s="290"/>
      <c r="Y146" s="290"/>
      <c r="Z146" s="290"/>
      <c r="AA146" s="290"/>
      <c r="AB146" s="290"/>
      <c r="AC146" s="290"/>
      <c r="AD146" s="290"/>
    </row>
    <row r="147" ht="12.75" customHeight="1">
      <c r="A147" s="437"/>
      <c r="B147" s="427"/>
      <c r="C147" s="427"/>
      <c r="D147" s="438"/>
      <c r="E147" s="438"/>
      <c r="F147" s="438"/>
      <c r="G147" s="438"/>
      <c r="H147" s="438"/>
      <c r="I147" s="439"/>
      <c r="J147" s="439"/>
      <c r="K147" s="439"/>
      <c r="L147" s="439"/>
      <c r="M147" s="439"/>
      <c r="N147" s="427"/>
      <c r="O147" s="427"/>
      <c r="P147" s="290"/>
      <c r="Q147" s="290"/>
      <c r="R147" s="290"/>
      <c r="S147" s="290"/>
      <c r="T147" s="290"/>
      <c r="U147" s="290"/>
      <c r="V147" s="290"/>
      <c r="W147" s="290"/>
      <c r="X147" s="290"/>
      <c r="Y147" s="290"/>
      <c r="Z147" s="290"/>
      <c r="AA147" s="290"/>
      <c r="AB147" s="290"/>
      <c r="AC147" s="290"/>
      <c r="AD147" s="290"/>
    </row>
    <row r="148" ht="12.75" customHeight="1">
      <c r="A148" s="437"/>
      <c r="B148" s="427"/>
      <c r="C148" s="427"/>
      <c r="D148" s="438"/>
      <c r="E148" s="438"/>
      <c r="F148" s="438"/>
      <c r="G148" s="438"/>
      <c r="H148" s="438"/>
      <c r="I148" s="439"/>
      <c r="J148" s="439"/>
      <c r="K148" s="439"/>
      <c r="L148" s="439"/>
      <c r="M148" s="439"/>
      <c r="N148" s="427"/>
      <c r="O148" s="427"/>
      <c r="P148" s="290"/>
      <c r="Q148" s="290"/>
      <c r="R148" s="290"/>
      <c r="S148" s="290"/>
      <c r="T148" s="290"/>
      <c r="U148" s="290"/>
      <c r="V148" s="290"/>
      <c r="W148" s="290"/>
      <c r="X148" s="290"/>
      <c r="Y148" s="290"/>
      <c r="Z148" s="290"/>
      <c r="AA148" s="290"/>
      <c r="AB148" s="290"/>
      <c r="AC148" s="290"/>
      <c r="AD148" s="290"/>
    </row>
    <row r="149" ht="12.75" customHeight="1">
      <c r="A149" s="437"/>
      <c r="B149" s="427"/>
      <c r="C149" s="427"/>
      <c r="D149" s="438"/>
      <c r="E149" s="438"/>
      <c r="F149" s="438"/>
      <c r="G149" s="438"/>
      <c r="H149" s="438"/>
      <c r="I149" s="439"/>
      <c r="J149" s="439"/>
      <c r="K149" s="439"/>
      <c r="L149" s="439"/>
      <c r="M149" s="439"/>
      <c r="N149" s="427"/>
      <c r="O149" s="427"/>
      <c r="P149" s="290"/>
      <c r="Q149" s="290"/>
      <c r="R149" s="290"/>
      <c r="S149" s="290"/>
      <c r="T149" s="290"/>
      <c r="U149" s="290"/>
      <c r="V149" s="290"/>
      <c r="W149" s="290"/>
      <c r="X149" s="290"/>
      <c r="Y149" s="290"/>
      <c r="Z149" s="290"/>
      <c r="AA149" s="290"/>
      <c r="AB149" s="290"/>
      <c r="AC149" s="290"/>
      <c r="AD149" s="290"/>
    </row>
    <row r="150" ht="12.75" customHeight="1">
      <c r="A150" s="437"/>
      <c r="B150" s="427"/>
      <c r="C150" s="427"/>
      <c r="D150" s="438"/>
      <c r="E150" s="438"/>
      <c r="F150" s="438"/>
      <c r="G150" s="438"/>
      <c r="H150" s="438"/>
      <c r="I150" s="439"/>
      <c r="J150" s="439"/>
      <c r="K150" s="439"/>
      <c r="L150" s="439"/>
      <c r="M150" s="439"/>
      <c r="N150" s="427"/>
      <c r="O150" s="427"/>
      <c r="P150" s="290"/>
      <c r="Q150" s="290"/>
      <c r="R150" s="290"/>
      <c r="S150" s="290"/>
      <c r="T150" s="290"/>
      <c r="U150" s="290"/>
      <c r="V150" s="290"/>
      <c r="W150" s="290"/>
      <c r="X150" s="290"/>
      <c r="Y150" s="290"/>
      <c r="Z150" s="290"/>
      <c r="AA150" s="290"/>
      <c r="AB150" s="290"/>
      <c r="AC150" s="290"/>
      <c r="AD150" s="290"/>
    </row>
    <row r="151" ht="12.75" customHeight="1">
      <c r="A151" s="437"/>
      <c r="B151" s="427"/>
      <c r="C151" s="427"/>
      <c r="D151" s="438"/>
      <c r="E151" s="438"/>
      <c r="F151" s="438"/>
      <c r="G151" s="438"/>
      <c r="H151" s="438"/>
      <c r="I151" s="439"/>
      <c r="J151" s="439"/>
      <c r="K151" s="439"/>
      <c r="L151" s="439"/>
      <c r="M151" s="439"/>
      <c r="N151" s="427"/>
      <c r="O151" s="427"/>
      <c r="P151" s="290"/>
      <c r="Q151" s="290"/>
      <c r="R151" s="290"/>
      <c r="S151" s="290"/>
      <c r="T151" s="290"/>
      <c r="U151" s="290"/>
      <c r="V151" s="290"/>
      <c r="W151" s="290"/>
      <c r="X151" s="290"/>
      <c r="Y151" s="290"/>
      <c r="Z151" s="290"/>
      <c r="AA151" s="290"/>
      <c r="AB151" s="290"/>
      <c r="AC151" s="290"/>
      <c r="AD151" s="290"/>
    </row>
    <row r="152" ht="12.75" customHeight="1">
      <c r="A152" s="437"/>
      <c r="B152" s="427"/>
      <c r="C152" s="427"/>
      <c r="D152" s="438"/>
      <c r="E152" s="438"/>
      <c r="F152" s="438"/>
      <c r="G152" s="438"/>
      <c r="H152" s="438"/>
      <c r="I152" s="439"/>
      <c r="J152" s="439"/>
      <c r="K152" s="439"/>
      <c r="L152" s="439"/>
      <c r="M152" s="439"/>
      <c r="N152" s="427"/>
      <c r="O152" s="427"/>
      <c r="P152" s="290"/>
      <c r="Q152" s="290"/>
      <c r="R152" s="290"/>
      <c r="S152" s="290"/>
      <c r="T152" s="290"/>
      <c r="U152" s="290"/>
      <c r="V152" s="290"/>
      <c r="W152" s="290"/>
      <c r="X152" s="290"/>
      <c r="Y152" s="290"/>
      <c r="Z152" s="290"/>
      <c r="AA152" s="290"/>
      <c r="AB152" s="290"/>
      <c r="AC152" s="290"/>
      <c r="AD152" s="290"/>
    </row>
    <row r="153" ht="12.75" customHeight="1">
      <c r="A153" s="437"/>
      <c r="B153" s="427"/>
      <c r="C153" s="427"/>
      <c r="D153" s="438"/>
      <c r="E153" s="438"/>
      <c r="F153" s="438"/>
      <c r="G153" s="438"/>
      <c r="H153" s="438"/>
      <c r="I153" s="439"/>
      <c r="J153" s="439"/>
      <c r="K153" s="439"/>
      <c r="L153" s="439"/>
      <c r="M153" s="439"/>
      <c r="N153" s="427"/>
      <c r="O153" s="427"/>
      <c r="P153" s="290"/>
      <c r="Q153" s="290"/>
      <c r="R153" s="290"/>
      <c r="S153" s="290"/>
      <c r="T153" s="290"/>
      <c r="U153" s="290"/>
      <c r="V153" s="290"/>
      <c r="W153" s="290"/>
      <c r="X153" s="290"/>
      <c r="Y153" s="290"/>
      <c r="Z153" s="290"/>
      <c r="AA153" s="290"/>
      <c r="AB153" s="290"/>
      <c r="AC153" s="290"/>
      <c r="AD153" s="290"/>
    </row>
    <row r="154" ht="12.75" customHeight="1">
      <c r="A154" s="437"/>
      <c r="B154" s="427"/>
      <c r="C154" s="427"/>
      <c r="D154" s="438"/>
      <c r="E154" s="438"/>
      <c r="F154" s="438"/>
      <c r="G154" s="438"/>
      <c r="H154" s="438"/>
      <c r="I154" s="439"/>
      <c r="J154" s="439"/>
      <c r="K154" s="439"/>
      <c r="L154" s="439"/>
      <c r="M154" s="439"/>
      <c r="N154" s="427"/>
      <c r="O154" s="427"/>
      <c r="P154" s="290"/>
      <c r="Q154" s="290"/>
      <c r="R154" s="290"/>
      <c r="S154" s="290"/>
      <c r="T154" s="290"/>
      <c r="U154" s="290"/>
      <c r="V154" s="290"/>
      <c r="W154" s="290"/>
      <c r="X154" s="290"/>
      <c r="Y154" s="290"/>
      <c r="Z154" s="290"/>
      <c r="AA154" s="290"/>
      <c r="AB154" s="290"/>
      <c r="AC154" s="290"/>
      <c r="AD154" s="290"/>
    </row>
    <row r="155" ht="12.75" customHeight="1">
      <c r="A155" s="437"/>
      <c r="B155" s="427"/>
      <c r="C155" s="427"/>
      <c r="D155" s="438"/>
      <c r="E155" s="438"/>
      <c r="F155" s="438"/>
      <c r="G155" s="438"/>
      <c r="H155" s="438"/>
      <c r="I155" s="439"/>
      <c r="J155" s="439"/>
      <c r="K155" s="439"/>
      <c r="L155" s="439"/>
      <c r="M155" s="439"/>
      <c r="N155" s="427"/>
      <c r="O155" s="427"/>
      <c r="P155" s="290"/>
      <c r="Q155" s="290"/>
      <c r="R155" s="290"/>
      <c r="S155" s="290"/>
      <c r="T155" s="290"/>
      <c r="U155" s="290"/>
      <c r="V155" s="290"/>
      <c r="W155" s="290"/>
      <c r="X155" s="290"/>
      <c r="Y155" s="290"/>
      <c r="Z155" s="290"/>
      <c r="AA155" s="290"/>
      <c r="AB155" s="290"/>
      <c r="AC155" s="290"/>
      <c r="AD155" s="290"/>
    </row>
    <row r="156" ht="12.75" customHeight="1">
      <c r="A156" s="437"/>
      <c r="B156" s="427"/>
      <c r="C156" s="427"/>
      <c r="D156" s="438"/>
      <c r="E156" s="438"/>
      <c r="F156" s="438"/>
      <c r="G156" s="438"/>
      <c r="H156" s="438"/>
      <c r="I156" s="439"/>
      <c r="J156" s="439"/>
      <c r="K156" s="439"/>
      <c r="L156" s="439"/>
      <c r="M156" s="439"/>
      <c r="N156" s="427"/>
      <c r="O156" s="427"/>
      <c r="P156" s="290"/>
      <c r="Q156" s="290"/>
      <c r="R156" s="290"/>
      <c r="S156" s="290"/>
      <c r="T156" s="290"/>
      <c r="U156" s="290"/>
      <c r="V156" s="290"/>
      <c r="W156" s="290"/>
      <c r="X156" s="290"/>
      <c r="Y156" s="290"/>
      <c r="Z156" s="290"/>
      <c r="AA156" s="290"/>
      <c r="AB156" s="290"/>
      <c r="AC156" s="290"/>
      <c r="AD156" s="290"/>
    </row>
    <row r="157" ht="12.75" customHeight="1">
      <c r="A157" s="437"/>
      <c r="B157" s="427"/>
      <c r="C157" s="427"/>
      <c r="D157" s="438"/>
      <c r="E157" s="438"/>
      <c r="F157" s="438"/>
      <c r="G157" s="438"/>
      <c r="H157" s="438"/>
      <c r="I157" s="439"/>
      <c r="J157" s="439"/>
      <c r="K157" s="439"/>
      <c r="L157" s="439"/>
      <c r="M157" s="439"/>
      <c r="N157" s="427"/>
      <c r="O157" s="427"/>
      <c r="P157" s="290"/>
      <c r="Q157" s="290"/>
      <c r="R157" s="290"/>
      <c r="S157" s="290"/>
      <c r="T157" s="290"/>
      <c r="U157" s="290"/>
      <c r="V157" s="290"/>
      <c r="W157" s="290"/>
      <c r="X157" s="290"/>
      <c r="Y157" s="290"/>
      <c r="Z157" s="290"/>
      <c r="AA157" s="290"/>
      <c r="AB157" s="290"/>
      <c r="AC157" s="290"/>
      <c r="AD157" s="290"/>
    </row>
    <row r="158" ht="12.75" customHeight="1">
      <c r="A158" s="437"/>
      <c r="B158" s="427"/>
      <c r="C158" s="427"/>
      <c r="D158" s="438"/>
      <c r="E158" s="438"/>
      <c r="F158" s="438"/>
      <c r="G158" s="438"/>
      <c r="H158" s="438"/>
      <c r="I158" s="439"/>
      <c r="J158" s="439"/>
      <c r="K158" s="439"/>
      <c r="L158" s="439"/>
      <c r="M158" s="439"/>
      <c r="N158" s="427"/>
      <c r="O158" s="427"/>
      <c r="P158" s="290"/>
      <c r="Q158" s="290"/>
      <c r="R158" s="290"/>
      <c r="S158" s="290"/>
      <c r="T158" s="290"/>
      <c r="U158" s="290"/>
      <c r="V158" s="290"/>
      <c r="W158" s="290"/>
      <c r="X158" s="290"/>
      <c r="Y158" s="290"/>
      <c r="Z158" s="290"/>
      <c r="AA158" s="290"/>
      <c r="AB158" s="290"/>
      <c r="AC158" s="290"/>
      <c r="AD158" s="290"/>
    </row>
    <row r="159" ht="12.75" customHeight="1">
      <c r="A159" s="437"/>
      <c r="B159" s="427"/>
      <c r="C159" s="427"/>
      <c r="D159" s="438"/>
      <c r="E159" s="438"/>
      <c r="F159" s="438"/>
      <c r="G159" s="438"/>
      <c r="H159" s="438"/>
      <c r="I159" s="439"/>
      <c r="J159" s="439"/>
      <c r="K159" s="439"/>
      <c r="L159" s="439"/>
      <c r="M159" s="439"/>
      <c r="N159" s="427"/>
      <c r="O159" s="427"/>
      <c r="P159" s="290"/>
      <c r="Q159" s="290"/>
      <c r="R159" s="290"/>
      <c r="S159" s="290"/>
      <c r="T159" s="290"/>
      <c r="U159" s="290"/>
      <c r="V159" s="290"/>
      <c r="W159" s="290"/>
      <c r="X159" s="290"/>
      <c r="Y159" s="290"/>
      <c r="Z159" s="290"/>
      <c r="AA159" s="290"/>
      <c r="AB159" s="290"/>
      <c r="AC159" s="290"/>
      <c r="AD159" s="290"/>
    </row>
    <row r="160" ht="12.75" customHeight="1">
      <c r="A160" s="437"/>
      <c r="B160" s="427"/>
      <c r="C160" s="427"/>
      <c r="D160" s="438"/>
      <c r="E160" s="438"/>
      <c r="F160" s="438"/>
      <c r="G160" s="438"/>
      <c r="H160" s="438"/>
      <c r="I160" s="439"/>
      <c r="J160" s="439"/>
      <c r="K160" s="439"/>
      <c r="L160" s="439"/>
      <c r="M160" s="439"/>
      <c r="N160" s="427"/>
      <c r="O160" s="427"/>
      <c r="P160" s="290"/>
      <c r="Q160" s="290"/>
      <c r="R160" s="290"/>
      <c r="S160" s="290"/>
      <c r="T160" s="290"/>
      <c r="U160" s="290"/>
      <c r="V160" s="290"/>
      <c r="W160" s="290"/>
      <c r="X160" s="290"/>
      <c r="Y160" s="290"/>
      <c r="Z160" s="290"/>
      <c r="AA160" s="290"/>
      <c r="AB160" s="290"/>
      <c r="AC160" s="290"/>
      <c r="AD160" s="290"/>
    </row>
    <row r="161" ht="12.75" customHeight="1">
      <c r="A161" s="437"/>
      <c r="B161" s="427"/>
      <c r="C161" s="427"/>
      <c r="D161" s="438"/>
      <c r="E161" s="438"/>
      <c r="F161" s="438"/>
      <c r="G161" s="438"/>
      <c r="H161" s="438"/>
      <c r="I161" s="439"/>
      <c r="J161" s="439"/>
      <c r="K161" s="439"/>
      <c r="L161" s="439"/>
      <c r="M161" s="439"/>
      <c r="N161" s="427"/>
      <c r="O161" s="427"/>
      <c r="P161" s="290"/>
      <c r="Q161" s="290"/>
      <c r="R161" s="290"/>
      <c r="S161" s="290"/>
      <c r="T161" s="290"/>
      <c r="U161" s="290"/>
      <c r="V161" s="290"/>
      <c r="W161" s="290"/>
      <c r="X161" s="290"/>
      <c r="Y161" s="290"/>
      <c r="Z161" s="290"/>
      <c r="AA161" s="290"/>
      <c r="AB161" s="290"/>
      <c r="AC161" s="290"/>
      <c r="AD161" s="290"/>
    </row>
    <row r="162" ht="12.75" customHeight="1">
      <c r="A162" s="437"/>
      <c r="B162" s="427"/>
      <c r="C162" s="427"/>
      <c r="D162" s="438"/>
      <c r="E162" s="438"/>
      <c r="F162" s="438"/>
      <c r="G162" s="438"/>
      <c r="H162" s="438"/>
      <c r="I162" s="439"/>
      <c r="J162" s="439"/>
      <c r="K162" s="439"/>
      <c r="L162" s="439"/>
      <c r="M162" s="439"/>
      <c r="N162" s="427"/>
      <c r="O162" s="427"/>
      <c r="P162" s="290"/>
      <c r="Q162" s="290"/>
      <c r="R162" s="290"/>
      <c r="S162" s="290"/>
      <c r="T162" s="290"/>
      <c r="U162" s="290"/>
      <c r="V162" s="290"/>
      <c r="W162" s="290"/>
      <c r="X162" s="290"/>
      <c r="Y162" s="290"/>
      <c r="Z162" s="290"/>
      <c r="AA162" s="290"/>
      <c r="AB162" s="290"/>
      <c r="AC162" s="290"/>
      <c r="AD162" s="290"/>
    </row>
    <row r="163" ht="12.75" customHeight="1">
      <c r="A163" s="437"/>
      <c r="B163" s="427"/>
      <c r="C163" s="427"/>
      <c r="D163" s="438"/>
      <c r="E163" s="438"/>
      <c r="F163" s="438"/>
      <c r="G163" s="438"/>
      <c r="H163" s="438"/>
      <c r="I163" s="439"/>
      <c r="J163" s="439"/>
      <c r="K163" s="439"/>
      <c r="L163" s="439"/>
      <c r="M163" s="439"/>
      <c r="N163" s="427"/>
      <c r="O163" s="427"/>
      <c r="P163" s="290"/>
      <c r="Q163" s="290"/>
      <c r="R163" s="290"/>
      <c r="S163" s="290"/>
      <c r="T163" s="290"/>
      <c r="U163" s="290"/>
      <c r="V163" s="290"/>
      <c r="W163" s="290"/>
      <c r="X163" s="290"/>
      <c r="Y163" s="290"/>
      <c r="Z163" s="290"/>
      <c r="AA163" s="290"/>
      <c r="AB163" s="290"/>
      <c r="AC163" s="290"/>
      <c r="AD163" s="290"/>
    </row>
    <row r="164" ht="12.75" customHeight="1">
      <c r="A164" s="437"/>
      <c r="B164" s="427"/>
      <c r="C164" s="427"/>
      <c r="D164" s="438"/>
      <c r="E164" s="438"/>
      <c r="F164" s="438"/>
      <c r="G164" s="438"/>
      <c r="H164" s="438"/>
      <c r="I164" s="439"/>
      <c r="J164" s="439"/>
      <c r="K164" s="439"/>
      <c r="L164" s="439"/>
      <c r="M164" s="439"/>
      <c r="N164" s="427"/>
      <c r="O164" s="427"/>
      <c r="P164" s="290"/>
      <c r="Q164" s="290"/>
      <c r="R164" s="290"/>
      <c r="S164" s="290"/>
      <c r="T164" s="290"/>
      <c r="U164" s="290"/>
      <c r="V164" s="290"/>
      <c r="W164" s="290"/>
      <c r="X164" s="290"/>
      <c r="Y164" s="290"/>
      <c r="Z164" s="290"/>
      <c r="AA164" s="290"/>
      <c r="AB164" s="290"/>
      <c r="AC164" s="290"/>
      <c r="AD164" s="290"/>
    </row>
    <row r="165" ht="12.75" customHeight="1">
      <c r="A165" s="437"/>
      <c r="B165" s="427"/>
      <c r="C165" s="427"/>
      <c r="D165" s="438"/>
      <c r="E165" s="438"/>
      <c r="F165" s="438"/>
      <c r="G165" s="438"/>
      <c r="H165" s="438"/>
      <c r="I165" s="439"/>
      <c r="J165" s="439"/>
      <c r="K165" s="439"/>
      <c r="L165" s="439"/>
      <c r="M165" s="439"/>
      <c r="N165" s="427"/>
      <c r="O165" s="427"/>
      <c r="P165" s="290"/>
      <c r="Q165" s="290"/>
      <c r="R165" s="290"/>
      <c r="S165" s="290"/>
      <c r="T165" s="290"/>
      <c r="U165" s="290"/>
      <c r="V165" s="290"/>
      <c r="W165" s="290"/>
      <c r="X165" s="290"/>
      <c r="Y165" s="290"/>
      <c r="Z165" s="290"/>
      <c r="AA165" s="290"/>
      <c r="AB165" s="290"/>
      <c r="AC165" s="290"/>
      <c r="AD165" s="290"/>
    </row>
    <row r="166" ht="12.75" customHeight="1">
      <c r="A166" s="437"/>
      <c r="B166" s="427"/>
      <c r="C166" s="427"/>
      <c r="D166" s="438"/>
      <c r="E166" s="438"/>
      <c r="F166" s="438"/>
      <c r="G166" s="438"/>
      <c r="H166" s="438"/>
      <c r="I166" s="439"/>
      <c r="J166" s="439"/>
      <c r="K166" s="439"/>
      <c r="L166" s="439"/>
      <c r="M166" s="439"/>
      <c r="N166" s="427"/>
      <c r="O166" s="427"/>
      <c r="P166" s="290"/>
      <c r="Q166" s="290"/>
      <c r="R166" s="290"/>
      <c r="S166" s="290"/>
      <c r="T166" s="290"/>
      <c r="U166" s="290"/>
      <c r="V166" s="290"/>
      <c r="W166" s="290"/>
      <c r="X166" s="290"/>
      <c r="Y166" s="290"/>
      <c r="Z166" s="290"/>
      <c r="AA166" s="290"/>
      <c r="AB166" s="290"/>
      <c r="AC166" s="290"/>
      <c r="AD166" s="290"/>
    </row>
    <row r="167" ht="12.75" customHeight="1">
      <c r="A167" s="437"/>
      <c r="B167" s="427"/>
      <c r="C167" s="427"/>
      <c r="D167" s="438"/>
      <c r="E167" s="438"/>
      <c r="F167" s="438"/>
      <c r="G167" s="438"/>
      <c r="H167" s="438"/>
      <c r="I167" s="439"/>
      <c r="J167" s="439"/>
      <c r="K167" s="439"/>
      <c r="L167" s="439"/>
      <c r="M167" s="439"/>
      <c r="N167" s="427"/>
      <c r="O167" s="427"/>
      <c r="P167" s="290"/>
      <c r="Q167" s="290"/>
      <c r="R167" s="290"/>
      <c r="S167" s="290"/>
      <c r="T167" s="290"/>
      <c r="U167" s="290"/>
      <c r="V167" s="290"/>
      <c r="W167" s="290"/>
      <c r="X167" s="290"/>
      <c r="Y167" s="290"/>
      <c r="Z167" s="290"/>
      <c r="AA167" s="290"/>
      <c r="AB167" s="290"/>
      <c r="AC167" s="290"/>
      <c r="AD167" s="290"/>
    </row>
    <row r="168" ht="12.75" customHeight="1">
      <c r="A168" s="437"/>
      <c r="B168" s="427"/>
      <c r="C168" s="427"/>
      <c r="D168" s="438"/>
      <c r="E168" s="438"/>
      <c r="F168" s="438"/>
      <c r="G168" s="438"/>
      <c r="H168" s="438"/>
      <c r="I168" s="439"/>
      <c r="J168" s="439"/>
      <c r="K168" s="439"/>
      <c r="L168" s="439"/>
      <c r="M168" s="439"/>
      <c r="N168" s="427"/>
      <c r="O168" s="427"/>
      <c r="P168" s="290"/>
      <c r="Q168" s="290"/>
      <c r="R168" s="290"/>
      <c r="S168" s="290"/>
      <c r="T168" s="290"/>
      <c r="U168" s="290"/>
      <c r="V168" s="290"/>
      <c r="W168" s="290"/>
      <c r="X168" s="290"/>
      <c r="Y168" s="290"/>
      <c r="Z168" s="290"/>
      <c r="AA168" s="290"/>
      <c r="AB168" s="290"/>
      <c r="AC168" s="290"/>
      <c r="AD168" s="290"/>
    </row>
    <row r="169" ht="12.75" customHeight="1">
      <c r="A169" s="437"/>
      <c r="B169" s="427"/>
      <c r="C169" s="427"/>
      <c r="D169" s="438"/>
      <c r="E169" s="438"/>
      <c r="F169" s="438"/>
      <c r="G169" s="438"/>
      <c r="H169" s="438"/>
      <c r="I169" s="439"/>
      <c r="J169" s="439"/>
      <c r="K169" s="439"/>
      <c r="L169" s="439"/>
      <c r="M169" s="439"/>
      <c r="N169" s="427"/>
      <c r="O169" s="427"/>
      <c r="P169" s="290"/>
      <c r="Q169" s="290"/>
      <c r="R169" s="290"/>
      <c r="S169" s="290"/>
      <c r="T169" s="290"/>
      <c r="U169" s="290"/>
      <c r="V169" s="290"/>
      <c r="W169" s="290"/>
      <c r="X169" s="290"/>
      <c r="Y169" s="290"/>
      <c r="Z169" s="290"/>
      <c r="AA169" s="290"/>
      <c r="AB169" s="290"/>
      <c r="AC169" s="290"/>
      <c r="AD169" s="290"/>
    </row>
    <row r="170" ht="12.75" customHeight="1">
      <c r="A170" s="437"/>
      <c r="B170" s="427"/>
      <c r="C170" s="427"/>
      <c r="D170" s="438"/>
      <c r="E170" s="438"/>
      <c r="F170" s="438"/>
      <c r="G170" s="438"/>
      <c r="H170" s="438"/>
      <c r="I170" s="439"/>
      <c r="J170" s="439"/>
      <c r="K170" s="439"/>
      <c r="L170" s="439"/>
      <c r="M170" s="439"/>
      <c r="N170" s="427"/>
      <c r="O170" s="427"/>
      <c r="P170" s="290"/>
      <c r="Q170" s="290"/>
      <c r="R170" s="290"/>
      <c r="S170" s="290"/>
      <c r="T170" s="290"/>
      <c r="U170" s="290"/>
      <c r="V170" s="290"/>
      <c r="W170" s="290"/>
      <c r="X170" s="290"/>
      <c r="Y170" s="290"/>
      <c r="Z170" s="290"/>
      <c r="AA170" s="290"/>
      <c r="AB170" s="290"/>
      <c r="AC170" s="290"/>
      <c r="AD170" s="290"/>
    </row>
    <row r="171" ht="12.75" customHeight="1">
      <c r="A171" s="437"/>
      <c r="B171" s="427"/>
      <c r="C171" s="427"/>
      <c r="D171" s="438"/>
      <c r="E171" s="438"/>
      <c r="F171" s="438"/>
      <c r="G171" s="438"/>
      <c r="H171" s="438"/>
      <c r="I171" s="439"/>
      <c r="J171" s="439"/>
      <c r="K171" s="439"/>
      <c r="L171" s="439"/>
      <c r="M171" s="439"/>
      <c r="N171" s="427"/>
      <c r="O171" s="427"/>
      <c r="P171" s="290"/>
      <c r="Q171" s="290"/>
      <c r="R171" s="290"/>
      <c r="S171" s="290"/>
      <c r="T171" s="290"/>
      <c r="U171" s="290"/>
      <c r="V171" s="290"/>
      <c r="W171" s="290"/>
      <c r="X171" s="290"/>
      <c r="Y171" s="290"/>
      <c r="Z171" s="290"/>
      <c r="AA171" s="290"/>
      <c r="AB171" s="290"/>
      <c r="AC171" s="290"/>
      <c r="AD171" s="290"/>
    </row>
    <row r="172" ht="12.75" customHeight="1">
      <c r="A172" s="437"/>
      <c r="B172" s="427"/>
      <c r="C172" s="427"/>
      <c r="D172" s="438"/>
      <c r="E172" s="438"/>
      <c r="F172" s="438"/>
      <c r="G172" s="438"/>
      <c r="H172" s="438"/>
      <c r="I172" s="439"/>
      <c r="J172" s="439"/>
      <c r="K172" s="439"/>
      <c r="L172" s="439"/>
      <c r="M172" s="439"/>
      <c r="N172" s="427"/>
      <c r="O172" s="427"/>
      <c r="P172" s="290"/>
      <c r="Q172" s="290"/>
      <c r="R172" s="290"/>
      <c r="S172" s="290"/>
      <c r="T172" s="290"/>
      <c r="U172" s="290"/>
      <c r="V172" s="290"/>
      <c r="W172" s="290"/>
      <c r="X172" s="290"/>
      <c r="Y172" s="290"/>
      <c r="Z172" s="290"/>
      <c r="AA172" s="290"/>
      <c r="AB172" s="290"/>
      <c r="AC172" s="290"/>
      <c r="AD172" s="290"/>
    </row>
    <row r="173" ht="12.75" customHeight="1">
      <c r="A173" s="437"/>
      <c r="B173" s="427"/>
      <c r="C173" s="427"/>
      <c r="D173" s="438"/>
      <c r="E173" s="438"/>
      <c r="F173" s="438"/>
      <c r="G173" s="438"/>
      <c r="H173" s="438"/>
      <c r="I173" s="439"/>
      <c r="J173" s="439"/>
      <c r="K173" s="439"/>
      <c r="L173" s="439"/>
      <c r="M173" s="439"/>
      <c r="N173" s="427"/>
      <c r="O173" s="427"/>
      <c r="P173" s="290"/>
      <c r="Q173" s="290"/>
      <c r="R173" s="290"/>
      <c r="S173" s="290"/>
      <c r="T173" s="290"/>
      <c r="U173" s="290"/>
      <c r="V173" s="290"/>
      <c r="W173" s="290"/>
      <c r="X173" s="290"/>
      <c r="Y173" s="290"/>
      <c r="Z173" s="290"/>
      <c r="AA173" s="290"/>
      <c r="AB173" s="290"/>
      <c r="AC173" s="290"/>
      <c r="AD173" s="290"/>
    </row>
    <row r="174" ht="12.75" customHeight="1">
      <c r="A174" s="437"/>
      <c r="B174" s="427"/>
      <c r="C174" s="427"/>
      <c r="D174" s="438"/>
      <c r="E174" s="438"/>
      <c r="F174" s="438"/>
      <c r="G174" s="438"/>
      <c r="H174" s="438"/>
      <c r="I174" s="439"/>
      <c r="J174" s="439"/>
      <c r="K174" s="439"/>
      <c r="L174" s="439"/>
      <c r="M174" s="439"/>
      <c r="N174" s="427"/>
      <c r="O174" s="427"/>
      <c r="P174" s="290"/>
      <c r="Q174" s="290"/>
      <c r="R174" s="290"/>
      <c r="S174" s="290"/>
      <c r="T174" s="290"/>
      <c r="U174" s="290"/>
      <c r="V174" s="290"/>
      <c r="W174" s="290"/>
      <c r="X174" s="290"/>
      <c r="Y174" s="290"/>
      <c r="Z174" s="290"/>
      <c r="AA174" s="290"/>
      <c r="AB174" s="290"/>
      <c r="AC174" s="290"/>
      <c r="AD174" s="290"/>
    </row>
    <row r="175" ht="12.75" customHeight="1">
      <c r="A175" s="437"/>
      <c r="B175" s="427"/>
      <c r="C175" s="427"/>
      <c r="D175" s="438"/>
      <c r="E175" s="438"/>
      <c r="F175" s="438"/>
      <c r="G175" s="438"/>
      <c r="H175" s="438"/>
      <c r="I175" s="439"/>
      <c r="J175" s="439"/>
      <c r="K175" s="439"/>
      <c r="L175" s="439"/>
      <c r="M175" s="439"/>
      <c r="N175" s="427"/>
      <c r="O175" s="427"/>
      <c r="P175" s="290"/>
      <c r="Q175" s="290"/>
      <c r="R175" s="290"/>
      <c r="S175" s="290"/>
      <c r="T175" s="290"/>
      <c r="U175" s="290"/>
      <c r="V175" s="290"/>
      <c r="W175" s="290"/>
      <c r="X175" s="290"/>
      <c r="Y175" s="290"/>
      <c r="Z175" s="290"/>
      <c r="AA175" s="290"/>
      <c r="AB175" s="290"/>
      <c r="AC175" s="290"/>
      <c r="AD175" s="290"/>
    </row>
    <row r="176" ht="12.75" customHeight="1">
      <c r="A176" s="437"/>
      <c r="B176" s="427"/>
      <c r="C176" s="427"/>
      <c r="D176" s="438"/>
      <c r="E176" s="438"/>
      <c r="F176" s="438"/>
      <c r="G176" s="438"/>
      <c r="H176" s="438"/>
      <c r="I176" s="439"/>
      <c r="J176" s="439"/>
      <c r="K176" s="439"/>
      <c r="L176" s="439"/>
      <c r="M176" s="439"/>
      <c r="N176" s="427"/>
      <c r="O176" s="427"/>
      <c r="P176" s="290"/>
      <c r="Q176" s="290"/>
      <c r="R176" s="290"/>
      <c r="S176" s="290"/>
      <c r="T176" s="290"/>
      <c r="U176" s="290"/>
      <c r="V176" s="290"/>
      <c r="W176" s="290"/>
      <c r="X176" s="290"/>
      <c r="Y176" s="290"/>
      <c r="Z176" s="290"/>
      <c r="AA176" s="290"/>
      <c r="AB176" s="290"/>
      <c r="AC176" s="290"/>
      <c r="AD176" s="290"/>
    </row>
    <row r="177" ht="12.75" customHeight="1">
      <c r="A177" s="437"/>
      <c r="B177" s="427"/>
      <c r="C177" s="427"/>
      <c r="D177" s="438"/>
      <c r="E177" s="438"/>
      <c r="F177" s="438"/>
      <c r="G177" s="438"/>
      <c r="H177" s="438"/>
      <c r="I177" s="439"/>
      <c r="J177" s="439"/>
      <c r="K177" s="439"/>
      <c r="L177" s="439"/>
      <c r="M177" s="439"/>
      <c r="N177" s="427"/>
      <c r="O177" s="427"/>
      <c r="P177" s="290"/>
      <c r="Q177" s="290"/>
      <c r="R177" s="290"/>
      <c r="S177" s="290"/>
      <c r="T177" s="290"/>
      <c r="U177" s="290"/>
      <c r="V177" s="290"/>
      <c r="W177" s="290"/>
      <c r="X177" s="290"/>
      <c r="Y177" s="290"/>
      <c r="Z177" s="290"/>
      <c r="AA177" s="290"/>
      <c r="AB177" s="290"/>
      <c r="AC177" s="290"/>
      <c r="AD177" s="290"/>
    </row>
    <row r="178" ht="12.75" customHeight="1">
      <c r="A178" s="437"/>
      <c r="B178" s="427"/>
      <c r="C178" s="427"/>
      <c r="D178" s="438"/>
      <c r="E178" s="438"/>
      <c r="F178" s="438"/>
      <c r="G178" s="438"/>
      <c r="H178" s="438"/>
      <c r="I178" s="439"/>
      <c r="J178" s="439"/>
      <c r="K178" s="439"/>
      <c r="L178" s="439"/>
      <c r="M178" s="439"/>
      <c r="N178" s="427"/>
      <c r="O178" s="427"/>
      <c r="P178" s="290"/>
      <c r="Q178" s="290"/>
      <c r="R178" s="290"/>
      <c r="S178" s="290"/>
      <c r="T178" s="290"/>
      <c r="U178" s="290"/>
      <c r="V178" s="290"/>
      <c r="W178" s="290"/>
      <c r="X178" s="290"/>
      <c r="Y178" s="290"/>
      <c r="Z178" s="290"/>
      <c r="AA178" s="290"/>
      <c r="AB178" s="290"/>
      <c r="AC178" s="290"/>
      <c r="AD178" s="290"/>
    </row>
    <row r="179" ht="12.75" customHeight="1">
      <c r="A179" s="437"/>
      <c r="B179" s="427"/>
      <c r="C179" s="427"/>
      <c r="D179" s="438"/>
      <c r="E179" s="438"/>
      <c r="F179" s="438"/>
      <c r="G179" s="438"/>
      <c r="H179" s="438"/>
      <c r="I179" s="439"/>
      <c r="J179" s="439"/>
      <c r="K179" s="439"/>
      <c r="L179" s="439"/>
      <c r="M179" s="439"/>
      <c r="N179" s="427"/>
      <c r="O179" s="427"/>
      <c r="P179" s="290"/>
      <c r="Q179" s="290"/>
      <c r="R179" s="290"/>
      <c r="S179" s="290"/>
      <c r="T179" s="290"/>
      <c r="U179" s="290"/>
      <c r="V179" s="290"/>
      <c r="W179" s="290"/>
      <c r="X179" s="290"/>
      <c r="Y179" s="290"/>
      <c r="Z179" s="290"/>
      <c r="AA179" s="290"/>
      <c r="AB179" s="290"/>
      <c r="AC179" s="290"/>
      <c r="AD179" s="290"/>
    </row>
    <row r="180" ht="12.75" customHeight="1">
      <c r="A180" s="437"/>
      <c r="B180" s="427"/>
      <c r="C180" s="427"/>
      <c r="D180" s="438"/>
      <c r="E180" s="438"/>
      <c r="F180" s="438"/>
      <c r="G180" s="438"/>
      <c r="H180" s="438"/>
      <c r="I180" s="439"/>
      <c r="J180" s="439"/>
      <c r="K180" s="439"/>
      <c r="L180" s="439"/>
      <c r="M180" s="439"/>
      <c r="N180" s="427"/>
      <c r="O180" s="427"/>
      <c r="P180" s="290"/>
      <c r="Q180" s="290"/>
      <c r="R180" s="290"/>
      <c r="S180" s="290"/>
      <c r="T180" s="290"/>
      <c r="U180" s="290"/>
      <c r="V180" s="290"/>
      <c r="W180" s="290"/>
      <c r="X180" s="290"/>
      <c r="Y180" s="290"/>
      <c r="Z180" s="290"/>
      <c r="AA180" s="290"/>
      <c r="AB180" s="290"/>
      <c r="AC180" s="290"/>
      <c r="AD180" s="290"/>
    </row>
    <row r="181" ht="12.75" customHeight="1">
      <c r="A181" s="437"/>
      <c r="B181" s="427"/>
      <c r="C181" s="427"/>
      <c r="D181" s="438"/>
      <c r="E181" s="438"/>
      <c r="F181" s="438"/>
      <c r="G181" s="438"/>
      <c r="H181" s="438"/>
      <c r="I181" s="439"/>
      <c r="J181" s="439"/>
      <c r="K181" s="439"/>
      <c r="L181" s="439"/>
      <c r="M181" s="439"/>
      <c r="N181" s="427"/>
      <c r="O181" s="427"/>
      <c r="P181" s="290"/>
      <c r="Q181" s="290"/>
      <c r="R181" s="290"/>
      <c r="S181" s="290"/>
      <c r="T181" s="290"/>
      <c r="U181" s="290"/>
      <c r="V181" s="290"/>
      <c r="W181" s="290"/>
      <c r="X181" s="290"/>
      <c r="Y181" s="290"/>
      <c r="Z181" s="290"/>
      <c r="AA181" s="290"/>
      <c r="AB181" s="290"/>
      <c r="AC181" s="290"/>
      <c r="AD181" s="290"/>
    </row>
    <row r="182" ht="12.75" customHeight="1">
      <c r="A182" s="437"/>
      <c r="B182" s="427"/>
      <c r="C182" s="427"/>
      <c r="D182" s="438"/>
      <c r="E182" s="438"/>
      <c r="F182" s="438"/>
      <c r="G182" s="438"/>
      <c r="H182" s="438"/>
      <c r="I182" s="439"/>
      <c r="J182" s="439"/>
      <c r="K182" s="439"/>
      <c r="L182" s="439"/>
      <c r="M182" s="439"/>
      <c r="N182" s="427"/>
      <c r="O182" s="427"/>
      <c r="P182" s="290"/>
      <c r="Q182" s="290"/>
      <c r="R182" s="290"/>
      <c r="S182" s="290"/>
      <c r="T182" s="290"/>
      <c r="U182" s="290"/>
      <c r="V182" s="290"/>
      <c r="W182" s="290"/>
      <c r="X182" s="290"/>
      <c r="Y182" s="290"/>
      <c r="Z182" s="290"/>
      <c r="AA182" s="290"/>
      <c r="AB182" s="290"/>
      <c r="AC182" s="290"/>
      <c r="AD182" s="290"/>
    </row>
    <row r="183" ht="12.75" customHeight="1">
      <c r="A183" s="437"/>
      <c r="B183" s="427"/>
      <c r="C183" s="427"/>
      <c r="D183" s="438"/>
      <c r="E183" s="438"/>
      <c r="F183" s="438"/>
      <c r="G183" s="438"/>
      <c r="H183" s="438"/>
      <c r="I183" s="439"/>
      <c r="J183" s="439"/>
      <c r="K183" s="439"/>
      <c r="L183" s="439"/>
      <c r="M183" s="439"/>
      <c r="N183" s="427"/>
      <c r="O183" s="427"/>
      <c r="P183" s="290"/>
      <c r="Q183" s="290"/>
      <c r="R183" s="290"/>
      <c r="S183" s="290"/>
      <c r="T183" s="290"/>
      <c r="U183" s="290"/>
      <c r="V183" s="290"/>
      <c r="W183" s="290"/>
      <c r="X183" s="290"/>
      <c r="Y183" s="290"/>
      <c r="Z183" s="290"/>
      <c r="AA183" s="290"/>
      <c r="AB183" s="290"/>
      <c r="AC183" s="290"/>
      <c r="AD183" s="290"/>
    </row>
    <row r="184" ht="12.75" customHeight="1">
      <c r="A184" s="437"/>
      <c r="B184" s="427"/>
      <c r="C184" s="427"/>
      <c r="D184" s="438"/>
      <c r="E184" s="438"/>
      <c r="F184" s="438"/>
      <c r="G184" s="438"/>
      <c r="H184" s="438"/>
      <c r="I184" s="439"/>
      <c r="J184" s="439"/>
      <c r="K184" s="439"/>
      <c r="L184" s="439"/>
      <c r="M184" s="439"/>
      <c r="N184" s="427"/>
      <c r="O184" s="427"/>
      <c r="P184" s="290"/>
      <c r="Q184" s="290"/>
      <c r="R184" s="290"/>
      <c r="S184" s="290"/>
      <c r="T184" s="290"/>
      <c r="U184" s="290"/>
      <c r="V184" s="290"/>
      <c r="W184" s="290"/>
      <c r="X184" s="290"/>
      <c r="Y184" s="290"/>
      <c r="Z184" s="290"/>
      <c r="AA184" s="290"/>
      <c r="AB184" s="290"/>
      <c r="AC184" s="290"/>
      <c r="AD184" s="290"/>
    </row>
    <row r="185" ht="12.75" customHeight="1">
      <c r="A185" s="437"/>
      <c r="B185" s="427"/>
      <c r="C185" s="427"/>
      <c r="D185" s="438"/>
      <c r="E185" s="438"/>
      <c r="F185" s="438"/>
      <c r="G185" s="438"/>
      <c r="H185" s="438"/>
      <c r="I185" s="439"/>
      <c r="J185" s="439"/>
      <c r="K185" s="439"/>
      <c r="L185" s="439"/>
      <c r="M185" s="439"/>
      <c r="N185" s="427"/>
      <c r="O185" s="427"/>
      <c r="P185" s="290"/>
      <c r="Q185" s="290"/>
      <c r="R185" s="290"/>
      <c r="S185" s="290"/>
      <c r="T185" s="290"/>
      <c r="U185" s="290"/>
      <c r="V185" s="290"/>
      <c r="W185" s="290"/>
      <c r="X185" s="290"/>
      <c r="Y185" s="290"/>
      <c r="Z185" s="290"/>
      <c r="AA185" s="290"/>
      <c r="AB185" s="290"/>
      <c r="AC185" s="290"/>
      <c r="AD185" s="290"/>
    </row>
    <row r="186" ht="12.75" customHeight="1">
      <c r="A186" s="437"/>
      <c r="B186" s="427"/>
      <c r="C186" s="427"/>
      <c r="D186" s="438"/>
      <c r="E186" s="438"/>
      <c r="F186" s="438"/>
      <c r="G186" s="438"/>
      <c r="H186" s="438"/>
      <c r="I186" s="439"/>
      <c r="J186" s="439"/>
      <c r="K186" s="439"/>
      <c r="L186" s="439"/>
      <c r="M186" s="439"/>
      <c r="N186" s="427"/>
      <c r="O186" s="427"/>
      <c r="P186" s="290"/>
      <c r="Q186" s="290"/>
      <c r="R186" s="290"/>
      <c r="S186" s="290"/>
      <c r="T186" s="290"/>
      <c r="U186" s="290"/>
      <c r="V186" s="290"/>
      <c r="W186" s="290"/>
      <c r="X186" s="290"/>
      <c r="Y186" s="290"/>
      <c r="Z186" s="290"/>
      <c r="AA186" s="290"/>
      <c r="AB186" s="290"/>
      <c r="AC186" s="290"/>
      <c r="AD186" s="290"/>
    </row>
    <row r="187" ht="12.75" customHeight="1">
      <c r="A187" s="437"/>
      <c r="B187" s="427"/>
      <c r="C187" s="427"/>
      <c r="D187" s="438"/>
      <c r="E187" s="438"/>
      <c r="F187" s="438"/>
      <c r="G187" s="438"/>
      <c r="H187" s="438"/>
      <c r="I187" s="439"/>
      <c r="J187" s="439"/>
      <c r="K187" s="439"/>
      <c r="L187" s="439"/>
      <c r="M187" s="439"/>
      <c r="N187" s="427"/>
      <c r="O187" s="427"/>
      <c r="P187" s="290"/>
      <c r="Q187" s="290"/>
      <c r="R187" s="290"/>
      <c r="S187" s="290"/>
      <c r="T187" s="290"/>
      <c r="U187" s="290"/>
      <c r="V187" s="290"/>
      <c r="W187" s="290"/>
      <c r="X187" s="290"/>
      <c r="Y187" s="290"/>
      <c r="Z187" s="290"/>
      <c r="AA187" s="290"/>
      <c r="AB187" s="290"/>
      <c r="AC187" s="290"/>
      <c r="AD187" s="290"/>
    </row>
    <row r="188" ht="12.75" customHeight="1">
      <c r="A188" s="437"/>
      <c r="B188" s="427"/>
      <c r="C188" s="427"/>
      <c r="D188" s="438"/>
      <c r="E188" s="438"/>
      <c r="F188" s="438"/>
      <c r="G188" s="438"/>
      <c r="H188" s="438"/>
      <c r="I188" s="439"/>
      <c r="J188" s="439"/>
      <c r="K188" s="439"/>
      <c r="L188" s="439"/>
      <c r="M188" s="439"/>
      <c r="N188" s="427"/>
      <c r="O188" s="427"/>
      <c r="P188" s="290"/>
      <c r="Q188" s="290"/>
      <c r="R188" s="290"/>
      <c r="S188" s="290"/>
      <c r="T188" s="290"/>
      <c r="U188" s="290"/>
      <c r="V188" s="290"/>
      <c r="W188" s="290"/>
      <c r="X188" s="290"/>
      <c r="Y188" s="290"/>
      <c r="Z188" s="290"/>
      <c r="AA188" s="290"/>
      <c r="AB188" s="290"/>
      <c r="AC188" s="290"/>
      <c r="AD188" s="290"/>
    </row>
    <row r="189" ht="12.75" customHeight="1">
      <c r="A189" s="437"/>
      <c r="B189" s="427"/>
      <c r="C189" s="427"/>
      <c r="D189" s="438"/>
      <c r="E189" s="438"/>
      <c r="F189" s="438"/>
      <c r="G189" s="438"/>
      <c r="H189" s="438"/>
      <c r="I189" s="439"/>
      <c r="J189" s="439"/>
      <c r="K189" s="439"/>
      <c r="L189" s="439"/>
      <c r="M189" s="439"/>
      <c r="N189" s="427"/>
      <c r="O189" s="427"/>
      <c r="P189" s="290"/>
      <c r="Q189" s="290"/>
      <c r="R189" s="290"/>
      <c r="S189" s="290"/>
      <c r="T189" s="290"/>
      <c r="U189" s="290"/>
      <c r="V189" s="290"/>
      <c r="W189" s="290"/>
      <c r="X189" s="290"/>
      <c r="Y189" s="290"/>
      <c r="Z189" s="290"/>
      <c r="AA189" s="290"/>
      <c r="AB189" s="290"/>
      <c r="AC189" s="290"/>
      <c r="AD189" s="290"/>
    </row>
    <row r="190" ht="12.75" customHeight="1">
      <c r="A190" s="437"/>
      <c r="B190" s="427"/>
      <c r="C190" s="427"/>
      <c r="D190" s="438"/>
      <c r="E190" s="438"/>
      <c r="F190" s="438"/>
      <c r="G190" s="438"/>
      <c r="H190" s="438"/>
      <c r="I190" s="439"/>
      <c r="J190" s="439"/>
      <c r="K190" s="439"/>
      <c r="L190" s="439"/>
      <c r="M190" s="439"/>
      <c r="N190" s="427"/>
      <c r="O190" s="427"/>
      <c r="P190" s="290"/>
      <c r="Q190" s="290"/>
      <c r="R190" s="290"/>
      <c r="S190" s="290"/>
      <c r="T190" s="290"/>
      <c r="U190" s="290"/>
      <c r="V190" s="290"/>
      <c r="W190" s="290"/>
      <c r="X190" s="290"/>
      <c r="Y190" s="290"/>
      <c r="Z190" s="290"/>
      <c r="AA190" s="290"/>
      <c r="AB190" s="290"/>
      <c r="AC190" s="290"/>
      <c r="AD190" s="290"/>
    </row>
    <row r="191" ht="12.75" customHeight="1">
      <c r="A191" s="437"/>
      <c r="B191" s="427"/>
      <c r="C191" s="427"/>
      <c r="D191" s="438"/>
      <c r="E191" s="438"/>
      <c r="F191" s="438"/>
      <c r="G191" s="438"/>
      <c r="H191" s="438"/>
      <c r="I191" s="439"/>
      <c r="J191" s="439"/>
      <c r="K191" s="439"/>
      <c r="L191" s="439"/>
      <c r="M191" s="439"/>
      <c r="N191" s="427"/>
      <c r="O191" s="427"/>
      <c r="P191" s="290"/>
      <c r="Q191" s="290"/>
      <c r="R191" s="290"/>
      <c r="S191" s="290"/>
      <c r="T191" s="290"/>
      <c r="U191" s="290"/>
      <c r="V191" s="290"/>
      <c r="W191" s="290"/>
      <c r="X191" s="290"/>
      <c r="Y191" s="290"/>
      <c r="Z191" s="290"/>
      <c r="AA191" s="290"/>
      <c r="AB191" s="290"/>
      <c r="AC191" s="290"/>
      <c r="AD191" s="290"/>
    </row>
    <row r="192" ht="12.75" customHeight="1">
      <c r="A192" s="437"/>
      <c r="B192" s="427"/>
      <c r="C192" s="427"/>
      <c r="D192" s="438"/>
      <c r="E192" s="438"/>
      <c r="F192" s="438"/>
      <c r="G192" s="438"/>
      <c r="H192" s="438"/>
      <c r="I192" s="439"/>
      <c r="J192" s="439"/>
      <c r="K192" s="439"/>
      <c r="L192" s="439"/>
      <c r="M192" s="439"/>
      <c r="N192" s="427"/>
      <c r="O192" s="427"/>
      <c r="P192" s="290"/>
      <c r="Q192" s="290"/>
      <c r="R192" s="290"/>
      <c r="S192" s="290"/>
      <c r="T192" s="290"/>
      <c r="U192" s="290"/>
      <c r="V192" s="290"/>
      <c r="W192" s="290"/>
      <c r="X192" s="290"/>
      <c r="Y192" s="290"/>
      <c r="Z192" s="290"/>
      <c r="AA192" s="290"/>
      <c r="AB192" s="290"/>
      <c r="AC192" s="290"/>
      <c r="AD192" s="290"/>
    </row>
    <row r="193" ht="12.75" customHeight="1">
      <c r="A193" s="437"/>
      <c r="B193" s="427"/>
      <c r="C193" s="427"/>
      <c r="D193" s="438"/>
      <c r="E193" s="438"/>
      <c r="F193" s="438"/>
      <c r="G193" s="438"/>
      <c r="H193" s="438"/>
      <c r="I193" s="439"/>
      <c r="J193" s="439"/>
      <c r="K193" s="439"/>
      <c r="L193" s="439"/>
      <c r="M193" s="439"/>
      <c r="N193" s="427"/>
      <c r="O193" s="427"/>
      <c r="P193" s="290"/>
      <c r="Q193" s="290"/>
      <c r="R193" s="290"/>
      <c r="S193" s="290"/>
      <c r="T193" s="290"/>
      <c r="U193" s="290"/>
      <c r="V193" s="290"/>
      <c r="W193" s="290"/>
      <c r="X193" s="290"/>
      <c r="Y193" s="290"/>
      <c r="Z193" s="290"/>
      <c r="AA193" s="290"/>
      <c r="AB193" s="290"/>
      <c r="AC193" s="290"/>
      <c r="AD193" s="290"/>
    </row>
    <row r="194" ht="12.75" customHeight="1">
      <c r="A194" s="437"/>
      <c r="B194" s="427"/>
      <c r="C194" s="427"/>
      <c r="D194" s="438"/>
      <c r="E194" s="438"/>
      <c r="F194" s="438"/>
      <c r="G194" s="438"/>
      <c r="H194" s="438"/>
      <c r="I194" s="439"/>
      <c r="J194" s="439"/>
      <c r="K194" s="439"/>
      <c r="L194" s="439"/>
      <c r="M194" s="439"/>
      <c r="N194" s="427"/>
      <c r="O194" s="427"/>
      <c r="P194" s="290"/>
      <c r="Q194" s="290"/>
      <c r="R194" s="290"/>
      <c r="S194" s="290"/>
      <c r="T194" s="290"/>
      <c r="U194" s="290"/>
      <c r="V194" s="290"/>
      <c r="W194" s="290"/>
      <c r="X194" s="290"/>
      <c r="Y194" s="290"/>
      <c r="Z194" s="290"/>
      <c r="AA194" s="290"/>
      <c r="AB194" s="290"/>
      <c r="AC194" s="290"/>
      <c r="AD194" s="290"/>
    </row>
    <row r="195" ht="12.75" customHeight="1">
      <c r="A195" s="437"/>
      <c r="B195" s="427"/>
      <c r="C195" s="427"/>
      <c r="D195" s="438"/>
      <c r="E195" s="438"/>
      <c r="F195" s="438"/>
      <c r="G195" s="438"/>
      <c r="H195" s="438"/>
      <c r="I195" s="439"/>
      <c r="J195" s="439"/>
      <c r="K195" s="439"/>
      <c r="L195" s="439"/>
      <c r="M195" s="439"/>
      <c r="N195" s="427"/>
      <c r="O195" s="427"/>
      <c r="P195" s="290"/>
      <c r="Q195" s="290"/>
      <c r="R195" s="290"/>
      <c r="S195" s="290"/>
      <c r="T195" s="290"/>
      <c r="U195" s="290"/>
      <c r="V195" s="290"/>
      <c r="W195" s="290"/>
      <c r="X195" s="290"/>
      <c r="Y195" s="290"/>
      <c r="Z195" s="290"/>
      <c r="AA195" s="290"/>
      <c r="AB195" s="290"/>
      <c r="AC195" s="290"/>
      <c r="AD195" s="290"/>
    </row>
    <row r="196" ht="12.75" customHeight="1">
      <c r="A196" s="437"/>
      <c r="B196" s="427"/>
      <c r="C196" s="427"/>
      <c r="D196" s="438"/>
      <c r="E196" s="438"/>
      <c r="F196" s="438"/>
      <c r="G196" s="438"/>
      <c r="H196" s="438"/>
      <c r="I196" s="439"/>
      <c r="J196" s="439"/>
      <c r="K196" s="439"/>
      <c r="L196" s="439"/>
      <c r="M196" s="439"/>
      <c r="N196" s="427"/>
      <c r="O196" s="427"/>
      <c r="P196" s="290"/>
      <c r="Q196" s="290"/>
      <c r="R196" s="290"/>
      <c r="S196" s="290"/>
      <c r="T196" s="290"/>
      <c r="U196" s="290"/>
      <c r="V196" s="290"/>
      <c r="W196" s="290"/>
      <c r="X196" s="290"/>
      <c r="Y196" s="290"/>
      <c r="Z196" s="290"/>
      <c r="AA196" s="290"/>
      <c r="AB196" s="290"/>
      <c r="AC196" s="290"/>
      <c r="AD196" s="290"/>
    </row>
    <row r="197" ht="12.75" customHeight="1">
      <c r="A197" s="437"/>
      <c r="B197" s="427"/>
      <c r="C197" s="427"/>
      <c r="D197" s="438"/>
      <c r="E197" s="438"/>
      <c r="F197" s="438"/>
      <c r="G197" s="438"/>
      <c r="H197" s="438"/>
      <c r="I197" s="439"/>
      <c r="J197" s="439"/>
      <c r="K197" s="439"/>
      <c r="L197" s="439"/>
      <c r="M197" s="439"/>
      <c r="N197" s="427"/>
      <c r="O197" s="427"/>
      <c r="P197" s="290"/>
      <c r="Q197" s="290"/>
      <c r="R197" s="290"/>
      <c r="S197" s="290"/>
      <c r="T197" s="290"/>
      <c r="U197" s="290"/>
      <c r="V197" s="290"/>
      <c r="W197" s="290"/>
      <c r="X197" s="290"/>
      <c r="Y197" s="290"/>
      <c r="Z197" s="290"/>
      <c r="AA197" s="290"/>
      <c r="AB197" s="290"/>
      <c r="AC197" s="290"/>
      <c r="AD197" s="290"/>
    </row>
    <row r="198" ht="12.75" customHeight="1">
      <c r="A198" s="437"/>
      <c r="B198" s="427"/>
      <c r="C198" s="427"/>
      <c r="D198" s="438"/>
      <c r="E198" s="438"/>
      <c r="F198" s="438"/>
      <c r="G198" s="438"/>
      <c r="H198" s="438"/>
      <c r="I198" s="439"/>
      <c r="J198" s="439"/>
      <c r="K198" s="439"/>
      <c r="L198" s="439"/>
      <c r="M198" s="439"/>
      <c r="N198" s="427"/>
      <c r="O198" s="427"/>
      <c r="P198" s="290"/>
      <c r="Q198" s="290"/>
      <c r="R198" s="290"/>
      <c r="S198" s="290"/>
      <c r="T198" s="290"/>
      <c r="U198" s="290"/>
      <c r="V198" s="290"/>
      <c r="W198" s="290"/>
      <c r="X198" s="290"/>
      <c r="Y198" s="290"/>
      <c r="Z198" s="290"/>
      <c r="AA198" s="290"/>
      <c r="AB198" s="290"/>
      <c r="AC198" s="290"/>
      <c r="AD198" s="290"/>
    </row>
    <row r="199" ht="12.75" customHeight="1">
      <c r="A199" s="437"/>
      <c r="B199" s="427"/>
      <c r="C199" s="427"/>
      <c r="D199" s="438"/>
      <c r="E199" s="438"/>
      <c r="F199" s="438"/>
      <c r="G199" s="438"/>
      <c r="H199" s="438"/>
      <c r="I199" s="439"/>
      <c r="J199" s="439"/>
      <c r="K199" s="439"/>
      <c r="L199" s="439"/>
      <c r="M199" s="439"/>
      <c r="N199" s="427"/>
      <c r="O199" s="427"/>
      <c r="P199" s="290"/>
      <c r="Q199" s="290"/>
      <c r="R199" s="290"/>
      <c r="S199" s="290"/>
      <c r="T199" s="290"/>
      <c r="U199" s="290"/>
      <c r="V199" s="290"/>
      <c r="W199" s="290"/>
      <c r="X199" s="290"/>
      <c r="Y199" s="290"/>
      <c r="Z199" s="290"/>
      <c r="AA199" s="290"/>
      <c r="AB199" s="290"/>
      <c r="AC199" s="290"/>
      <c r="AD199" s="290"/>
    </row>
    <row r="200" ht="12.75" customHeight="1">
      <c r="A200" s="437"/>
      <c r="B200" s="427"/>
      <c r="C200" s="427"/>
      <c r="D200" s="438"/>
      <c r="E200" s="438"/>
      <c r="F200" s="438"/>
      <c r="G200" s="438"/>
      <c r="H200" s="438"/>
      <c r="I200" s="439"/>
      <c r="J200" s="439"/>
      <c r="K200" s="439"/>
      <c r="L200" s="439"/>
      <c r="M200" s="439"/>
      <c r="N200" s="427"/>
      <c r="O200" s="427"/>
      <c r="P200" s="290"/>
      <c r="Q200" s="290"/>
      <c r="R200" s="290"/>
      <c r="S200" s="290"/>
      <c r="T200" s="290"/>
      <c r="U200" s="290"/>
      <c r="V200" s="290"/>
      <c r="W200" s="290"/>
      <c r="X200" s="290"/>
      <c r="Y200" s="290"/>
      <c r="Z200" s="290"/>
      <c r="AA200" s="290"/>
      <c r="AB200" s="290"/>
      <c r="AC200" s="290"/>
      <c r="AD200" s="290"/>
    </row>
    <row r="201" ht="12.75" customHeight="1">
      <c r="A201" s="437"/>
      <c r="B201" s="427"/>
      <c r="C201" s="427"/>
      <c r="D201" s="438"/>
      <c r="E201" s="438"/>
      <c r="F201" s="438"/>
      <c r="G201" s="438"/>
      <c r="H201" s="438"/>
      <c r="I201" s="439"/>
      <c r="J201" s="439"/>
      <c r="K201" s="439"/>
      <c r="L201" s="439"/>
      <c r="M201" s="439"/>
      <c r="N201" s="427"/>
      <c r="O201" s="427"/>
      <c r="P201" s="290"/>
      <c r="Q201" s="290"/>
      <c r="R201" s="290"/>
      <c r="S201" s="290"/>
      <c r="T201" s="290"/>
      <c r="U201" s="290"/>
      <c r="V201" s="290"/>
      <c r="W201" s="290"/>
      <c r="X201" s="290"/>
      <c r="Y201" s="290"/>
      <c r="Z201" s="290"/>
      <c r="AA201" s="290"/>
      <c r="AB201" s="290"/>
      <c r="AC201" s="290"/>
      <c r="AD201" s="290"/>
    </row>
    <row r="202" ht="12.75" customHeight="1">
      <c r="A202" s="437"/>
      <c r="B202" s="427"/>
      <c r="C202" s="427"/>
      <c r="D202" s="438"/>
      <c r="E202" s="438"/>
      <c r="F202" s="438"/>
      <c r="G202" s="438"/>
      <c r="H202" s="438"/>
      <c r="I202" s="439"/>
      <c r="J202" s="439"/>
      <c r="K202" s="439"/>
      <c r="L202" s="439"/>
      <c r="M202" s="439"/>
      <c r="N202" s="427"/>
      <c r="O202" s="427"/>
      <c r="P202" s="290"/>
      <c r="Q202" s="290"/>
      <c r="R202" s="290"/>
      <c r="S202" s="290"/>
      <c r="T202" s="290"/>
      <c r="U202" s="290"/>
      <c r="V202" s="290"/>
      <c r="W202" s="290"/>
      <c r="X202" s="290"/>
      <c r="Y202" s="290"/>
      <c r="Z202" s="290"/>
      <c r="AA202" s="290"/>
      <c r="AB202" s="290"/>
      <c r="AC202" s="290"/>
      <c r="AD202" s="290"/>
    </row>
    <row r="203" ht="12.75" customHeight="1">
      <c r="A203" s="437"/>
      <c r="B203" s="427"/>
      <c r="C203" s="427"/>
      <c r="D203" s="438"/>
      <c r="E203" s="438"/>
      <c r="F203" s="438"/>
      <c r="G203" s="438"/>
      <c r="H203" s="438"/>
      <c r="I203" s="439"/>
      <c r="J203" s="439"/>
      <c r="K203" s="439"/>
      <c r="L203" s="439"/>
      <c r="M203" s="439"/>
      <c r="N203" s="427"/>
      <c r="O203" s="427"/>
      <c r="P203" s="290"/>
      <c r="Q203" s="290"/>
      <c r="R203" s="290"/>
      <c r="S203" s="290"/>
      <c r="T203" s="290"/>
      <c r="U203" s="290"/>
      <c r="V203" s="290"/>
      <c r="W203" s="290"/>
      <c r="X203" s="290"/>
      <c r="Y203" s="290"/>
      <c r="Z203" s="290"/>
      <c r="AA203" s="290"/>
      <c r="AB203" s="290"/>
      <c r="AC203" s="290"/>
      <c r="AD203" s="290"/>
    </row>
    <row r="204" ht="12.75" customHeight="1">
      <c r="A204" s="437"/>
      <c r="B204" s="427"/>
      <c r="C204" s="427"/>
      <c r="D204" s="438"/>
      <c r="E204" s="438"/>
      <c r="F204" s="438"/>
      <c r="G204" s="438"/>
      <c r="H204" s="438"/>
      <c r="I204" s="439"/>
      <c r="J204" s="439"/>
      <c r="K204" s="439"/>
      <c r="L204" s="439"/>
      <c r="M204" s="439"/>
      <c r="N204" s="427"/>
      <c r="O204" s="427"/>
      <c r="P204" s="290"/>
      <c r="Q204" s="290"/>
      <c r="R204" s="290"/>
      <c r="S204" s="290"/>
      <c r="T204" s="290"/>
      <c r="U204" s="290"/>
      <c r="V204" s="290"/>
      <c r="W204" s="290"/>
      <c r="X204" s="290"/>
      <c r="Y204" s="290"/>
      <c r="Z204" s="290"/>
      <c r="AA204" s="290"/>
      <c r="AB204" s="290"/>
      <c r="AC204" s="290"/>
      <c r="AD204" s="290"/>
    </row>
    <row r="205" ht="12.75" customHeight="1">
      <c r="A205" s="437"/>
      <c r="B205" s="427"/>
      <c r="C205" s="427"/>
      <c r="D205" s="438"/>
      <c r="E205" s="438"/>
      <c r="F205" s="438"/>
      <c r="G205" s="438"/>
      <c r="H205" s="438"/>
      <c r="I205" s="439"/>
      <c r="J205" s="439"/>
      <c r="K205" s="439"/>
      <c r="L205" s="439"/>
      <c r="M205" s="439"/>
      <c r="N205" s="427"/>
      <c r="O205" s="427"/>
      <c r="P205" s="290"/>
      <c r="Q205" s="290"/>
      <c r="R205" s="290"/>
      <c r="S205" s="290"/>
      <c r="T205" s="290"/>
      <c r="U205" s="290"/>
      <c r="V205" s="290"/>
      <c r="W205" s="290"/>
      <c r="X205" s="290"/>
      <c r="Y205" s="290"/>
      <c r="Z205" s="290"/>
      <c r="AA205" s="290"/>
      <c r="AB205" s="290"/>
      <c r="AC205" s="290"/>
      <c r="AD205" s="290"/>
    </row>
    <row r="206" ht="12.75" customHeight="1">
      <c r="A206" s="437"/>
      <c r="B206" s="427"/>
      <c r="C206" s="427"/>
      <c r="D206" s="438"/>
      <c r="E206" s="438"/>
      <c r="F206" s="438"/>
      <c r="G206" s="438"/>
      <c r="H206" s="438"/>
      <c r="I206" s="439"/>
      <c r="J206" s="439"/>
      <c r="K206" s="439"/>
      <c r="L206" s="439"/>
      <c r="M206" s="439"/>
      <c r="N206" s="427"/>
      <c r="O206" s="427"/>
      <c r="P206" s="290"/>
      <c r="Q206" s="290"/>
      <c r="R206" s="290"/>
      <c r="S206" s="290"/>
      <c r="T206" s="290"/>
      <c r="U206" s="290"/>
      <c r="V206" s="290"/>
      <c r="W206" s="290"/>
      <c r="X206" s="290"/>
      <c r="Y206" s="290"/>
      <c r="Z206" s="290"/>
      <c r="AA206" s="290"/>
      <c r="AB206" s="290"/>
      <c r="AC206" s="290"/>
      <c r="AD206" s="290"/>
    </row>
    <row r="207" ht="12.75" customHeight="1">
      <c r="A207" s="437"/>
      <c r="B207" s="427"/>
      <c r="C207" s="427"/>
      <c r="D207" s="438"/>
      <c r="E207" s="438"/>
      <c r="F207" s="438"/>
      <c r="G207" s="438"/>
      <c r="H207" s="438"/>
      <c r="I207" s="439"/>
      <c r="J207" s="439"/>
      <c r="K207" s="439"/>
      <c r="L207" s="439"/>
      <c r="M207" s="439"/>
      <c r="N207" s="427"/>
      <c r="O207" s="427"/>
      <c r="P207" s="290"/>
      <c r="Q207" s="290"/>
      <c r="R207" s="290"/>
      <c r="S207" s="290"/>
      <c r="T207" s="290"/>
      <c r="U207" s="290"/>
      <c r="V207" s="290"/>
      <c r="W207" s="290"/>
      <c r="X207" s="290"/>
      <c r="Y207" s="290"/>
      <c r="Z207" s="290"/>
      <c r="AA207" s="290"/>
      <c r="AB207" s="290"/>
      <c r="AC207" s="290"/>
      <c r="AD207" s="290"/>
    </row>
    <row r="208" ht="12.75" customHeight="1">
      <c r="A208" s="437"/>
      <c r="B208" s="427"/>
      <c r="C208" s="427"/>
      <c r="D208" s="438"/>
      <c r="E208" s="438"/>
      <c r="F208" s="438"/>
      <c r="G208" s="438"/>
      <c r="H208" s="438"/>
      <c r="I208" s="439"/>
      <c r="J208" s="439"/>
      <c r="K208" s="439"/>
      <c r="L208" s="439"/>
      <c r="M208" s="439"/>
      <c r="N208" s="427"/>
      <c r="O208" s="427"/>
      <c r="P208" s="290"/>
      <c r="Q208" s="290"/>
      <c r="R208" s="290"/>
      <c r="S208" s="290"/>
      <c r="T208" s="290"/>
      <c r="U208" s="290"/>
      <c r="V208" s="290"/>
      <c r="W208" s="290"/>
      <c r="X208" s="290"/>
      <c r="Y208" s="290"/>
      <c r="Z208" s="290"/>
      <c r="AA208" s="290"/>
      <c r="AB208" s="290"/>
      <c r="AC208" s="290"/>
      <c r="AD208" s="290"/>
    </row>
    <row r="209" ht="12.75" customHeight="1">
      <c r="A209" s="437"/>
      <c r="B209" s="427"/>
      <c r="C209" s="427"/>
      <c r="D209" s="438"/>
      <c r="E209" s="438"/>
      <c r="F209" s="438"/>
      <c r="G209" s="438"/>
      <c r="H209" s="438"/>
      <c r="I209" s="439"/>
      <c r="J209" s="439"/>
      <c r="K209" s="439"/>
      <c r="L209" s="439"/>
      <c r="M209" s="439"/>
      <c r="N209" s="427"/>
      <c r="O209" s="427"/>
      <c r="P209" s="290"/>
      <c r="Q209" s="290"/>
      <c r="R209" s="290"/>
      <c r="S209" s="290"/>
      <c r="T209" s="290"/>
      <c r="U209" s="290"/>
      <c r="V209" s="290"/>
      <c r="W209" s="290"/>
      <c r="X209" s="290"/>
      <c r="Y209" s="290"/>
      <c r="Z209" s="290"/>
      <c r="AA209" s="290"/>
      <c r="AB209" s="290"/>
      <c r="AC209" s="290"/>
      <c r="AD209" s="290"/>
    </row>
    <row r="210" ht="12.75" customHeight="1">
      <c r="A210" s="437"/>
      <c r="B210" s="427"/>
      <c r="C210" s="427"/>
      <c r="D210" s="438"/>
      <c r="E210" s="438"/>
      <c r="F210" s="438"/>
      <c r="G210" s="438"/>
      <c r="H210" s="438"/>
      <c r="I210" s="439"/>
      <c r="J210" s="439"/>
      <c r="K210" s="439"/>
      <c r="L210" s="439"/>
      <c r="M210" s="439"/>
      <c r="N210" s="427"/>
      <c r="O210" s="427"/>
      <c r="P210" s="290"/>
      <c r="Q210" s="290"/>
      <c r="R210" s="290"/>
      <c r="S210" s="290"/>
      <c r="T210" s="290"/>
      <c r="U210" s="290"/>
      <c r="V210" s="290"/>
      <c r="W210" s="290"/>
      <c r="X210" s="290"/>
      <c r="Y210" s="290"/>
      <c r="Z210" s="290"/>
      <c r="AA210" s="290"/>
      <c r="AB210" s="290"/>
      <c r="AC210" s="290"/>
      <c r="AD210" s="290"/>
    </row>
    <row r="211" ht="12.75" customHeight="1">
      <c r="A211" s="437"/>
      <c r="B211" s="427"/>
      <c r="C211" s="427"/>
      <c r="D211" s="438"/>
      <c r="E211" s="438"/>
      <c r="F211" s="438"/>
      <c r="G211" s="438"/>
      <c r="H211" s="438"/>
      <c r="I211" s="439"/>
      <c r="J211" s="439"/>
      <c r="K211" s="439"/>
      <c r="L211" s="439"/>
      <c r="M211" s="439"/>
      <c r="N211" s="427"/>
      <c r="O211" s="427"/>
      <c r="P211" s="290"/>
      <c r="Q211" s="290"/>
      <c r="R211" s="290"/>
      <c r="S211" s="290"/>
      <c r="T211" s="290"/>
      <c r="U211" s="290"/>
      <c r="V211" s="290"/>
      <c r="W211" s="290"/>
      <c r="X211" s="290"/>
      <c r="Y211" s="290"/>
      <c r="Z211" s="290"/>
      <c r="AA211" s="290"/>
      <c r="AB211" s="290"/>
      <c r="AC211" s="290"/>
      <c r="AD211" s="290"/>
    </row>
    <row r="212" ht="12.75" customHeight="1">
      <c r="A212" s="437"/>
      <c r="B212" s="427"/>
      <c r="C212" s="427"/>
      <c r="D212" s="438"/>
      <c r="E212" s="438"/>
      <c r="F212" s="438"/>
      <c r="G212" s="438"/>
      <c r="H212" s="438"/>
      <c r="I212" s="439"/>
      <c r="J212" s="439"/>
      <c r="K212" s="439"/>
      <c r="L212" s="439"/>
      <c r="M212" s="439"/>
      <c r="N212" s="427"/>
      <c r="O212" s="427"/>
      <c r="P212" s="290"/>
      <c r="Q212" s="290"/>
      <c r="R212" s="290"/>
      <c r="S212" s="290"/>
      <c r="T212" s="290"/>
      <c r="U212" s="290"/>
      <c r="V212" s="290"/>
      <c r="W212" s="290"/>
      <c r="X212" s="290"/>
      <c r="Y212" s="290"/>
      <c r="Z212" s="290"/>
      <c r="AA212" s="290"/>
      <c r="AB212" s="290"/>
      <c r="AC212" s="290"/>
      <c r="AD212" s="290"/>
    </row>
    <row r="213" ht="12.75" customHeight="1">
      <c r="A213" s="437"/>
      <c r="B213" s="427"/>
      <c r="C213" s="427"/>
      <c r="D213" s="438"/>
      <c r="E213" s="438"/>
      <c r="F213" s="438"/>
      <c r="G213" s="438"/>
      <c r="H213" s="438"/>
      <c r="I213" s="439"/>
      <c r="J213" s="439"/>
      <c r="K213" s="439"/>
      <c r="L213" s="439"/>
      <c r="M213" s="439"/>
      <c r="N213" s="427"/>
      <c r="O213" s="427"/>
      <c r="P213" s="290"/>
      <c r="Q213" s="290"/>
      <c r="R213" s="290"/>
      <c r="S213" s="290"/>
      <c r="T213" s="290"/>
      <c r="U213" s="290"/>
      <c r="V213" s="290"/>
      <c r="W213" s="290"/>
      <c r="X213" s="290"/>
      <c r="Y213" s="290"/>
      <c r="Z213" s="290"/>
      <c r="AA213" s="290"/>
      <c r="AB213" s="290"/>
      <c r="AC213" s="290"/>
      <c r="AD213" s="290"/>
    </row>
    <row r="214" ht="12.75" customHeight="1">
      <c r="A214" s="437"/>
      <c r="B214" s="427"/>
      <c r="C214" s="427"/>
      <c r="D214" s="438"/>
      <c r="E214" s="438"/>
      <c r="F214" s="438"/>
      <c r="G214" s="438"/>
      <c r="H214" s="438"/>
      <c r="I214" s="439"/>
      <c r="J214" s="439"/>
      <c r="K214" s="439"/>
      <c r="L214" s="439"/>
      <c r="M214" s="439"/>
      <c r="N214" s="427"/>
      <c r="O214" s="427"/>
      <c r="P214" s="290"/>
      <c r="Q214" s="290"/>
      <c r="R214" s="290"/>
      <c r="S214" s="290"/>
      <c r="T214" s="290"/>
      <c r="U214" s="290"/>
      <c r="V214" s="290"/>
      <c r="W214" s="290"/>
      <c r="X214" s="290"/>
      <c r="Y214" s="290"/>
      <c r="Z214" s="290"/>
      <c r="AA214" s="290"/>
      <c r="AB214" s="290"/>
      <c r="AC214" s="290"/>
      <c r="AD214" s="290"/>
    </row>
    <row r="215" ht="12.75" customHeight="1">
      <c r="A215" s="437"/>
      <c r="B215" s="427"/>
      <c r="C215" s="427"/>
      <c r="D215" s="438"/>
      <c r="E215" s="438"/>
      <c r="F215" s="438"/>
      <c r="G215" s="438"/>
      <c r="H215" s="438"/>
      <c r="I215" s="439"/>
      <c r="J215" s="439"/>
      <c r="K215" s="439"/>
      <c r="L215" s="439"/>
      <c r="M215" s="439"/>
      <c r="N215" s="427"/>
      <c r="O215" s="427"/>
      <c r="P215" s="290"/>
      <c r="Q215" s="290"/>
      <c r="R215" s="290"/>
      <c r="S215" s="290"/>
      <c r="T215" s="290"/>
      <c r="U215" s="290"/>
      <c r="V215" s="290"/>
      <c r="W215" s="290"/>
      <c r="X215" s="290"/>
      <c r="Y215" s="290"/>
      <c r="Z215" s="290"/>
      <c r="AA215" s="290"/>
      <c r="AB215" s="290"/>
      <c r="AC215" s="290"/>
      <c r="AD215" s="290"/>
    </row>
    <row r="216" ht="12.75" customHeight="1">
      <c r="A216" s="437"/>
      <c r="B216" s="427"/>
      <c r="C216" s="427"/>
      <c r="D216" s="438"/>
      <c r="E216" s="438"/>
      <c r="F216" s="438"/>
      <c r="G216" s="438"/>
      <c r="H216" s="438"/>
      <c r="I216" s="439"/>
      <c r="J216" s="439"/>
      <c r="K216" s="439"/>
      <c r="L216" s="439"/>
      <c r="M216" s="439"/>
      <c r="N216" s="427"/>
      <c r="O216" s="427"/>
      <c r="P216" s="290"/>
      <c r="Q216" s="290"/>
      <c r="R216" s="290"/>
      <c r="S216" s="290"/>
      <c r="T216" s="290"/>
      <c r="U216" s="290"/>
      <c r="V216" s="290"/>
      <c r="W216" s="290"/>
      <c r="X216" s="290"/>
      <c r="Y216" s="290"/>
      <c r="Z216" s="290"/>
      <c r="AA216" s="290"/>
      <c r="AB216" s="290"/>
      <c r="AC216" s="290"/>
      <c r="AD216" s="290"/>
    </row>
    <row r="217" ht="12.75" customHeight="1">
      <c r="A217" s="437"/>
      <c r="B217" s="427"/>
      <c r="C217" s="427"/>
      <c r="D217" s="438"/>
      <c r="E217" s="438"/>
      <c r="F217" s="438"/>
      <c r="G217" s="438"/>
      <c r="H217" s="438"/>
      <c r="I217" s="439"/>
      <c r="J217" s="439"/>
      <c r="K217" s="439"/>
      <c r="L217" s="439"/>
      <c r="M217" s="439"/>
      <c r="N217" s="427"/>
      <c r="O217" s="427"/>
      <c r="P217" s="290"/>
      <c r="Q217" s="290"/>
      <c r="R217" s="290"/>
      <c r="S217" s="290"/>
      <c r="T217" s="290"/>
      <c r="U217" s="290"/>
      <c r="V217" s="290"/>
      <c r="W217" s="290"/>
      <c r="X217" s="290"/>
      <c r="Y217" s="290"/>
      <c r="Z217" s="290"/>
      <c r="AA217" s="290"/>
      <c r="AB217" s="290"/>
      <c r="AC217" s="290"/>
      <c r="AD217" s="290"/>
    </row>
    <row r="218" ht="12.75" customHeight="1">
      <c r="A218" s="437"/>
      <c r="B218" s="427"/>
      <c r="C218" s="427"/>
      <c r="D218" s="438"/>
      <c r="E218" s="438"/>
      <c r="F218" s="438"/>
      <c r="G218" s="438"/>
      <c r="H218" s="438"/>
      <c r="I218" s="439"/>
      <c r="J218" s="439"/>
      <c r="K218" s="439"/>
      <c r="L218" s="439"/>
      <c r="M218" s="439"/>
      <c r="N218" s="427"/>
      <c r="O218" s="427"/>
      <c r="P218" s="290"/>
      <c r="Q218" s="290"/>
      <c r="R218" s="290"/>
      <c r="S218" s="290"/>
      <c r="T218" s="290"/>
      <c r="U218" s="290"/>
      <c r="V218" s="290"/>
      <c r="W218" s="290"/>
      <c r="X218" s="290"/>
      <c r="Y218" s="290"/>
      <c r="Z218" s="290"/>
      <c r="AA218" s="290"/>
      <c r="AB218" s="290"/>
      <c r="AC218" s="290"/>
      <c r="AD218" s="290"/>
    </row>
    <row r="219" ht="12.75" customHeight="1">
      <c r="A219" s="437"/>
      <c r="B219" s="427"/>
      <c r="C219" s="427"/>
      <c r="D219" s="438"/>
      <c r="E219" s="438"/>
      <c r="F219" s="438"/>
      <c r="G219" s="438"/>
      <c r="H219" s="438"/>
      <c r="I219" s="439"/>
      <c r="J219" s="439"/>
      <c r="K219" s="439"/>
      <c r="L219" s="439"/>
      <c r="M219" s="439"/>
      <c r="N219" s="427"/>
      <c r="O219" s="427"/>
      <c r="P219" s="290"/>
      <c r="Q219" s="290"/>
      <c r="R219" s="290"/>
      <c r="S219" s="290"/>
      <c r="T219" s="290"/>
      <c r="U219" s="290"/>
      <c r="V219" s="290"/>
      <c r="W219" s="290"/>
      <c r="X219" s="290"/>
      <c r="Y219" s="290"/>
      <c r="Z219" s="290"/>
      <c r="AA219" s="290"/>
      <c r="AB219" s="290"/>
      <c r="AC219" s="290"/>
      <c r="AD219" s="290"/>
    </row>
    <row r="220" ht="12.75" customHeight="1">
      <c r="A220" s="437"/>
      <c r="B220" s="427"/>
      <c r="C220" s="427"/>
      <c r="D220" s="438"/>
      <c r="E220" s="438"/>
      <c r="F220" s="438"/>
      <c r="G220" s="438"/>
      <c r="H220" s="438"/>
      <c r="I220" s="439"/>
      <c r="J220" s="439"/>
      <c r="K220" s="439"/>
      <c r="L220" s="439"/>
      <c r="M220" s="439"/>
      <c r="N220" s="427"/>
      <c r="O220" s="427"/>
      <c r="P220" s="290"/>
      <c r="Q220" s="290"/>
      <c r="R220" s="290"/>
      <c r="S220" s="290"/>
      <c r="T220" s="290"/>
      <c r="U220" s="290"/>
      <c r="V220" s="290"/>
      <c r="W220" s="290"/>
      <c r="X220" s="290"/>
      <c r="Y220" s="290"/>
      <c r="Z220" s="290"/>
      <c r="AA220" s="290"/>
      <c r="AB220" s="290"/>
      <c r="AC220" s="290"/>
      <c r="AD220" s="290"/>
    </row>
    <row r="221" ht="12.75" customHeight="1">
      <c r="A221" s="437"/>
      <c r="B221" s="427"/>
      <c r="C221" s="427"/>
      <c r="D221" s="438"/>
      <c r="E221" s="438"/>
      <c r="F221" s="438"/>
      <c r="G221" s="438"/>
      <c r="H221" s="438"/>
      <c r="I221" s="439"/>
      <c r="J221" s="439"/>
      <c r="K221" s="439"/>
      <c r="L221" s="439"/>
      <c r="M221" s="439"/>
      <c r="N221" s="427"/>
      <c r="O221" s="427"/>
      <c r="P221" s="290"/>
      <c r="Q221" s="290"/>
      <c r="R221" s="290"/>
      <c r="S221" s="290"/>
      <c r="T221" s="290"/>
      <c r="U221" s="290"/>
      <c r="V221" s="290"/>
      <c r="W221" s="290"/>
      <c r="X221" s="290"/>
      <c r="Y221" s="290"/>
      <c r="Z221" s="290"/>
      <c r="AA221" s="290"/>
      <c r="AB221" s="290"/>
      <c r="AC221" s="290"/>
      <c r="AD221" s="290"/>
    </row>
    <row r="222" ht="12.75" customHeight="1">
      <c r="A222" s="437"/>
      <c r="B222" s="427"/>
      <c r="C222" s="427"/>
      <c r="D222" s="438"/>
      <c r="E222" s="438"/>
      <c r="F222" s="438"/>
      <c r="G222" s="438"/>
      <c r="H222" s="438"/>
      <c r="I222" s="439"/>
      <c r="J222" s="439"/>
      <c r="K222" s="439"/>
      <c r="L222" s="439"/>
      <c r="M222" s="439"/>
      <c r="N222" s="427"/>
      <c r="O222" s="427"/>
      <c r="P222" s="290"/>
      <c r="Q222" s="290"/>
      <c r="R222" s="290"/>
      <c r="S222" s="290"/>
      <c r="T222" s="290"/>
      <c r="U222" s="290"/>
      <c r="V222" s="290"/>
      <c r="W222" s="290"/>
      <c r="X222" s="290"/>
      <c r="Y222" s="290"/>
      <c r="Z222" s="290"/>
      <c r="AA222" s="290"/>
      <c r="AB222" s="290"/>
      <c r="AC222" s="290"/>
      <c r="AD222" s="290"/>
    </row>
    <row r="223" ht="12.75" customHeight="1">
      <c r="A223" s="437"/>
      <c r="B223" s="427"/>
      <c r="C223" s="427"/>
      <c r="D223" s="438"/>
      <c r="E223" s="438"/>
      <c r="F223" s="438"/>
      <c r="G223" s="438"/>
      <c r="H223" s="438"/>
      <c r="I223" s="439"/>
      <c r="J223" s="439"/>
      <c r="K223" s="439"/>
      <c r="L223" s="439"/>
      <c r="M223" s="439"/>
      <c r="N223" s="427"/>
      <c r="O223" s="427"/>
      <c r="P223" s="290"/>
      <c r="Q223" s="290"/>
      <c r="R223" s="290"/>
      <c r="S223" s="290"/>
      <c r="T223" s="290"/>
      <c r="U223" s="290"/>
      <c r="V223" s="290"/>
      <c r="W223" s="290"/>
      <c r="X223" s="290"/>
      <c r="Y223" s="290"/>
      <c r="Z223" s="290"/>
      <c r="AA223" s="290"/>
      <c r="AB223" s="290"/>
      <c r="AC223" s="290"/>
      <c r="AD223" s="290"/>
    </row>
    <row r="224" ht="12.75" customHeight="1">
      <c r="A224" s="437"/>
      <c r="B224" s="427"/>
      <c r="C224" s="427"/>
      <c r="D224" s="438"/>
      <c r="E224" s="438"/>
      <c r="F224" s="438"/>
      <c r="G224" s="438"/>
      <c r="H224" s="438"/>
      <c r="I224" s="439"/>
      <c r="J224" s="439"/>
      <c r="K224" s="439"/>
      <c r="L224" s="439"/>
      <c r="M224" s="439"/>
      <c r="N224" s="427"/>
      <c r="O224" s="427"/>
      <c r="P224" s="290"/>
      <c r="Q224" s="290"/>
      <c r="R224" s="290"/>
      <c r="S224" s="290"/>
      <c r="T224" s="290"/>
      <c r="U224" s="290"/>
      <c r="V224" s="290"/>
      <c r="W224" s="290"/>
      <c r="X224" s="290"/>
      <c r="Y224" s="290"/>
      <c r="Z224" s="290"/>
      <c r="AA224" s="290"/>
      <c r="AB224" s="290"/>
      <c r="AC224" s="290"/>
      <c r="AD224" s="29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H1"/>
    <mergeCell ref="I1:M1"/>
    <mergeCell ref="S1:W1"/>
    <mergeCell ref="X1:AB1"/>
  </mergeCells>
  <printOptions/>
  <pageMargins bottom="0.75" footer="0.0" header="0.0" left="0.7" right="0.7" top="0.75"/>
  <pageSetup orientation="portrait"/>
  <drawing r:id="rId1"/>
</worksheet>
</file>